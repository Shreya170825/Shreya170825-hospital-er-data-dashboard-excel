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shrey\Downloads\"/>
    </mc:Choice>
  </mc:AlternateContent>
  <xr:revisionPtr revIDLastSave="0" documentId="13_ncr:1_{F40A95E1-EA14-4CAE-A0B3-B9A8FBA1F159}" xr6:coauthVersionLast="47" xr6:coauthVersionMax="47" xr10:uidLastSave="{00000000-0000-0000-0000-000000000000}"/>
  <bookViews>
    <workbookView xWindow="-108" yWindow="-108" windowWidth="23256" windowHeight="12456" activeTab="1" xr2:uid="{4A4504AE-0427-4210-8506-7659C517FAC0}"/>
  </bookViews>
  <sheets>
    <sheet name="Pivot Report" sheetId="1" r:id="rId1"/>
    <sheet name="Dashboard" sheetId="2" r:id="rId2"/>
    <sheet name="Average Wait Time" sheetId="4" r:id="rId3"/>
    <sheet name="Daily ER no.of Patient" sheetId="3" r:id="rId4"/>
    <sheet name="Satisfaction Score Daily Trends" sheetId="5"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19ad258e-b808-4f70-a7d8-45318e9f6c72" name="Hospital Emergency Room Data" connection="Query - Hospital Emergency Room Data"/>
          <x15:modelTable id="Calendar_Table_d3a3cad7-d620-4e03-a167-ae9a1272665b"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2" i="1" l="1"/>
  <c r="B53" i="1"/>
  <c r="C53" i="1"/>
  <c r="B52" i="1"/>
  <c r="C52" i="1"/>
  <c r="A5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E8DBDB2-86FE-4387-8CDA-4BDED4A9789E}" name="Query - Calendar_Table" description="Connection to the 'Calendar_Table' query in the workbook." type="100" refreshedVersion="8" minRefreshableVersion="5">
    <extLst>
      <ext xmlns:x15="http://schemas.microsoft.com/office/spreadsheetml/2010/11/main" uri="{DE250136-89BD-433C-8126-D09CA5730AF9}">
        <x15:connection id="45a91d42-def1-4c6e-a8ee-1d3dd058db70"/>
      </ext>
    </extLst>
  </connection>
  <connection id="2" xr16:uid="{281C5DA0-38E1-4D89-B357-FF19FDAED954}"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6d88b800-9068-4a85-b0d2-17166a499a0c"/>
      </ext>
    </extLst>
  </connection>
  <connection id="3" xr16:uid="{B8C33EFA-4FF8-4C51-A46C-0D8306523BB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<sst xmlns="http://schemas.openxmlformats.org/spreadsheetml/2006/main" count="160" uniqueCount="79">
  <si>
    <t>Distinct Count of Patient Id</t>
  </si>
  <si>
    <t>Average of Patient Waittime</t>
  </si>
  <si>
    <t>Average of Patient Satisfaction Score</t>
  </si>
  <si>
    <t>No. of Patient</t>
  </si>
  <si>
    <t>Row Labels</t>
  </si>
  <si>
    <t>Grand Total</t>
  </si>
  <si>
    <r>
      <t xml:space="preserve">                           </t>
    </r>
    <r>
      <rPr>
        <b/>
        <sz val="11"/>
        <color theme="1"/>
        <rFont val="Calibri"/>
        <family val="2"/>
        <scheme val="minor"/>
      </rPr>
      <t xml:space="preserve"> Showing a daily trend with an area sparkline to spot patterns like busy days or seasonal trends.</t>
    </r>
  </si>
  <si>
    <t>Daily trend of No. of Patient</t>
  </si>
  <si>
    <t>Average Wait Time</t>
  </si>
  <si>
    <t>Use an area chart to track daily changes and highlight days with longer wait times that might need improvements</t>
  </si>
  <si>
    <t>Satisfaction Score Daily Trend</t>
  </si>
  <si>
    <t>Use an area chart to show trends,spot drops in satisfaction,and link them to busy times or challenges.</t>
  </si>
  <si>
    <t>Admission Status</t>
  </si>
  <si>
    <t>Patients</t>
  </si>
  <si>
    <t xml:space="preserve">      Status in %</t>
  </si>
  <si>
    <t>% of Total</t>
  </si>
  <si>
    <t>0-09</t>
  </si>
  <si>
    <t>10-19</t>
  </si>
  <si>
    <t>20-29</t>
  </si>
  <si>
    <t>30-39</t>
  </si>
  <si>
    <t>40-49</t>
  </si>
  <si>
    <t>50-59</t>
  </si>
  <si>
    <t>60-69</t>
  </si>
  <si>
    <t>70-79</t>
  </si>
  <si>
    <t>Count of Age Group</t>
  </si>
  <si>
    <t>1-Jul</t>
  </si>
  <si>
    <t>2-Jul</t>
  </si>
  <si>
    <t>3-Jul</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</si>
  <si>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</si>
  <si>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</si>
  <si>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</si>
  <si>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</si>
  <si>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</si>
  <si>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</si>
  <si>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</si>
  <si>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</si>
  <si>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</si>
  <si>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</si>
  <si>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</si>
  <si>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</si>
  <si>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</si>
  <si>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</si>
  <si>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</si>
  <si>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</si>
  <si>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</si>
  <si>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</si>
  <si>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</si>
  <si>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</si>
  <si>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</si>
  <si>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</si>
  <si>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</si>
  <si>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</si>
  <si>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</si>
  <si>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</si>
  <si>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</si>
  <si>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</si>
  <si>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Count of Patient Admission Flag</t>
  </si>
  <si>
    <t>Delay</t>
  </si>
  <si>
    <t>Ontime</t>
  </si>
  <si>
    <t>Cardiology</t>
  </si>
  <si>
    <t>Gastroenterology</t>
  </si>
  <si>
    <t>General Practice</t>
  </si>
  <si>
    <t>Neurology</t>
  </si>
  <si>
    <t>None</t>
  </si>
  <si>
    <t>Orthopedics</t>
  </si>
  <si>
    <t>Physiotherapy</t>
  </si>
  <si>
    <t>Renal</t>
  </si>
  <si>
    <t>Admitted</t>
  </si>
  <si>
    <t>Not Admitted</t>
  </si>
  <si>
    <t>Count of Patient Admission Flag2</t>
  </si>
  <si>
    <t>Age Group wise Analysis</t>
  </si>
  <si>
    <t>Count of Patient Attend Status</t>
  </si>
  <si>
    <t>Attented status</t>
  </si>
  <si>
    <t>Female</t>
  </si>
  <si>
    <t>Male</t>
  </si>
  <si>
    <t>Count of Patient Gender</t>
  </si>
  <si>
    <t>Gender wise analysis</t>
  </si>
  <si>
    <t>Count of Department Referral</t>
  </si>
  <si>
    <t>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</si>
</sst>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sz val="11"/>
      <color theme="1"/>
      <name val="Calibri"/>
      <family val="2"/>
      <scheme val="minor"/>
    </font>
    <font>
      <b/>
      <sz val="11"/>
      <color theme="1"/>
      <name val="Calibri"/>
      <family val="2"/>
      <scheme val="minor"/>
    </font>
    <font>
      <sz val="11"/>
      <color theme="1"/>
      <name val="Aptos Narrow"/>
      <family val="2"/>
    </font>
    <font>
      <b/>
      <sz val="11"/>
      <color theme="1"/>
      <name val="Aptos Narrow"/>
      <family val="2"/>
    </font>
  </fonts>
  <fills count="6">
    <fill>
      <patternFill patternType="none"/>
    </fill>
    <fill>
      <patternFill patternType="gray125"/>
    </fill>
    <fill>
      <patternFill patternType="solid">
        <fgColor theme="1" tint="0.34998626667073579"/>
        <bgColor indexed="64"/>
      </patternFill>
    </fill>
    <fill>
      <patternFill patternType="solid">
        <fgColor theme="7" tint="0.39997558519241921"/>
        <bgColor indexed="64"/>
      </patternFill>
    </fill>
    <fill>
      <patternFill patternType="solid">
        <fgColor theme="0"/>
        <bgColor indexed="64"/>
      </patternFill>
    </fill>
    <fill>
      <patternFill patternType="solid">
        <fgColor theme="0" tint="-4.9989318521683403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2">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3" borderId="0" xfId="0" applyFill="1"/>
    <xf numFmtId="0" fontId="0" fillId="4" borderId="0" xfId="0" applyFill="1"/>
    <xf numFmtId="0" fontId="2" fillId="0" borderId="0" xfId="0" applyFont="1"/>
    <xf numFmtId="1" fontId="0" fillId="0" borderId="0" xfId="0" applyNumberFormat="1"/>
    <xf numFmtId="0" fontId="0" fillId="5" borderId="0" xfId="0" applyFill="1"/>
    <xf numFmtId="0" fontId="0" fillId="5" borderId="0" xfId="0" applyFill="1" applyAlignment="1">
      <alignment horizontal="center"/>
    </xf>
    <xf numFmtId="9" fontId="0" fillId="5" borderId="0" xfId="1" applyFont="1" applyFill="1" applyAlignment="1">
      <alignment horizontal="center"/>
    </xf>
    <xf numFmtId="0" fontId="0" fillId="5" borderId="0" xfId="0" applyFill="1" applyAlignment="1">
      <alignment horizontal="left"/>
    </xf>
    <xf numFmtId="0" fontId="3" fillId="4" borderId="0" xfId="0" applyFont="1" applyFill="1" applyAlignment="1">
      <alignment horizontal="center"/>
    </xf>
    <xf numFmtId="0" fontId="4" fillId="4" borderId="0" xfId="0" applyFont="1" applyFill="1" applyAlignment="1">
      <alignment horizontal="left"/>
    </xf>
    <xf numFmtId="0" fontId="4" fillId="4" borderId="0" xfId="0" applyFont="1" applyFill="1" applyAlignment="1">
      <alignment horizontal="center"/>
    </xf>
    <xf numFmtId="0" fontId="2" fillId="4" borderId="0" xfId="0" applyFont="1" applyFill="1"/>
    <xf numFmtId="10" fontId="0" fillId="0" borderId="0" xfId="0" applyNumberFormat="1"/>
    <xf numFmtId="0" fontId="3" fillId="2" borderId="0" xfId="0" applyFont="1" applyFill="1" applyAlignment="1">
      <alignment horizontal="left"/>
    </xf>
    <xf numFmtId="0" fontId="0" fillId="2" borderId="0" xfId="0" applyFill="1" applyAlignment="1">
      <alignment horizontal="left"/>
    </xf>
    <xf numFmtId="0" fontId="3" fillId="2" borderId="0" xfId="0" applyFont="1" applyFill="1" applyAlignment="1">
      <alignment horizontal="center"/>
    </xf>
    <xf numFmtId="0" fontId="0" fillId="2" borderId="0" xfId="0" applyFill="1" applyAlignment="1">
      <alignment horizontal="center"/>
    </xf>
  </cellXfs>
  <cellStyles count="2">
    <cellStyle name="Normal" xfId="0" builtinId="0"/>
    <cellStyle name="Percent" xfId="1" builtinId="5"/>
  </cellStyles>
  <dxfs count="15">
    <dxf>
      <numFmt numFmtId="1" formatCode="0"/>
    </dxf>
    <dxf>
      <numFmt numFmtId="14" formatCode="0.00%"/>
    </dxf>
    <dxf>
      <numFmt numFmtId="1" formatCode="0"/>
    </dxf>
    <dxf>
      <numFmt numFmtId="1" formatCode="0"/>
    </dxf>
    <dxf>
      <numFmt numFmtId="1" formatCode="0"/>
    </dxf>
    <dxf>
      <numFmt numFmtId="2" formatCode="0.00"/>
    </dxf>
    <dxf>
      <numFmt numFmtId="2" formatCode="0.00"/>
    </dxf>
    <dxf>
      <numFmt numFmtId="1" formatCode="0"/>
    </dxf>
    <dxf>
      <numFmt numFmtId="2" formatCode="0.00"/>
    </dxf>
    <dxf>
      <numFmt numFmtId="2" formatCode="0.00"/>
    </dxf>
    <dxf>
      <numFmt numFmtId="1" formatCode="0"/>
    </dxf>
    <dxf>
      <font>
        <b/>
        <color theme="1"/>
      </font>
      <border>
        <bottom style="thin">
          <color theme="5"/>
        </bottom>
        <vertical/>
        <horizontal/>
      </border>
    </dxf>
    <dxf>
      <font>
        <sz val="8"/>
        <color theme="1"/>
      </font>
      <fill>
        <patternFill patternType="none">
          <bgColor auto="1"/>
        </patternFill>
      </fill>
      <border diagonalUp="0" diagonalDown="0">
        <left/>
        <right/>
        <top/>
        <bottom/>
        <vertical/>
        <horizontal/>
      </border>
    </dxf>
    <dxf>
      <font>
        <b/>
        <color theme="1"/>
      </font>
      <border>
        <bottom style="thin">
          <color theme="4"/>
        </bottom>
        <vertical/>
        <horizontal/>
      </border>
    </dxf>
    <dxf>
      <font>
        <sz val="8"/>
        <color theme="1"/>
      </font>
      <fill>
        <patternFill>
          <bgColor theme="0" tint="-4.9989318521683403E-2"/>
        </patternFill>
      </fill>
      <border diagonalUp="0" diagonalDown="0">
        <left/>
        <right/>
        <top/>
        <bottom/>
        <vertical/>
        <horizontal/>
      </border>
    </dxf>
  </dxfs>
  <tableStyles count="2" defaultTableStyle="TableStyleMedium2" defaultPivotStyle="PivotStyleLight16">
    <tableStyle name="my style" pivot="0" table="0" count="10" xr9:uid="{29EE5AB8-8B21-408A-8F6D-750331501BEA}">
      <tableStyleElement type="wholeTable" dxfId="14"/>
      <tableStyleElement type="headerRow" dxfId="13"/>
    </tableStyle>
    <tableStyle name="SlicerStyleLight2 2" pivot="0" table="0" count="10" xr9:uid="{973A6D58-E867-4613-9ECE-CC9F4B977EF2}">
      <tableStyleElement type="wholeTable" dxfId="12"/>
      <tableStyleElement type="headerRow" dxfId="11"/>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tint="-4.9989318521683403E-2"/>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microsoft.com/office/2017/10/relationships/person" Target="persons/person.xml"/><Relationship Id="rId39" Type="http://schemas.openxmlformats.org/officeDocument/2006/relationships/customXml" Target="../customXml/item12.xml"/><Relationship Id="rId21" Type="http://schemas.openxmlformats.org/officeDocument/2006/relationships/theme" Target="theme/theme1.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2.xml"/><Relationship Id="rId41" Type="http://schemas.openxmlformats.org/officeDocument/2006/relationships/customXml" Target="../customXml/item14.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Project.xlsx]Pivot Report!PivotTable10</c:name>
    <c:fmtId val="0"/>
  </c:pivotSource>
  <c:chart>
    <c:autoTitleDeleted val="0"/>
    <c:pivotFmts>
      <c:pivotFmt>
        <c:idx val="0"/>
        <c:spPr>
          <a:solidFill>
            <a:schemeClr val="bg1">
              <a:lumMod val="65000"/>
            </a:schemeClr>
          </a:solidFill>
          <a:ln w="0">
            <a:solidFill>
              <a:schemeClr val="lt1">
                <a:shade val="50000"/>
              </a:schemeClr>
            </a:solid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bg1">
              <a:lumMod val="65000"/>
            </a:schemeClr>
          </a:solidFill>
          <a:ln w="0">
            <a:solidFill>
              <a:schemeClr val="lt1">
                <a:shade val="50000"/>
              </a:schemeClr>
            </a:solidFill>
          </a:ln>
          <a:effectLst/>
        </c:spPr>
        <c:dLbl>
          <c:idx val="0"/>
          <c:spPr>
            <a:noFill/>
            <a:ln>
              <a:noFill/>
            </a:ln>
            <a:effectLst/>
          </c:spPr>
          <c:txPr>
            <a:bodyPr rot="0" spcFirstLastPara="1" vertOverflow="ellipsis"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3"/>
        <c:spPr>
          <a:solidFill>
            <a:schemeClr val="bg1">
              <a:lumMod val="65000"/>
            </a:schemeClr>
          </a:solidFill>
          <a:ln w="0">
            <a:solidFill>
              <a:schemeClr val="lt1">
                <a:shade val="50000"/>
              </a:schemeClr>
            </a:solidFill>
          </a:ln>
          <a:effectLst/>
        </c:spPr>
        <c:dLbl>
          <c:idx val="0"/>
          <c:tx>
            <c:rich>
              <a:bodyPr rot="0" spcFirstLastPara="1" vertOverflow="ellipsis" vert="horz" wrap="non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fld id="{AC8AE516-96A3-4D3F-8393-B97CB23E2CF8}" type="CELLRANGE">
                  <a:rPr lang="en-US"/>
                  <a:pPr>
                    <a:defRPr sz="6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
        <c:idx val="4"/>
        <c:marker>
          <c:symbol val="none"/>
        </c:marker>
        <c:dLbl>
          <c:idx val="0"/>
          <c:delete val="1"/>
          <c:extLst>
            <c:ext xmlns:c15="http://schemas.microsoft.com/office/drawing/2012/chart" uri="{CE6537A1-D6FC-4f65-9D91-7224C49458BB}"/>
          </c:extLst>
        </c:dLbl>
      </c:pivotFmt>
      <c:pivotFmt>
        <c:idx val="5"/>
        <c:spPr>
          <a:solidFill>
            <a:schemeClr val="bg1">
              <a:lumMod val="65000"/>
            </a:schemeClr>
          </a:solidFill>
        </c:spPr>
        <c:marker>
          <c:symbol val="none"/>
        </c:marker>
        <c:dLbl>
          <c:idx val="0"/>
          <c:delete val="1"/>
          <c:extLst>
            <c:ext xmlns:c15="http://schemas.microsoft.com/office/drawing/2012/chart" uri="{CE6537A1-D6FC-4f65-9D91-7224C49458BB}"/>
          </c:extLst>
        </c:dLbl>
      </c:pivotFmt>
      <c:pivotFmt>
        <c:idx val="6"/>
        <c:marker>
          <c:symbol val="none"/>
        </c:marker>
        <c:dLbl>
          <c:idx val="0"/>
          <c:delete val="1"/>
          <c:extLst>
            <c:ext xmlns:c15="http://schemas.microsoft.com/office/drawing/2012/chart" uri="{CE6537A1-D6FC-4f65-9D91-7224C49458BB}"/>
          </c:extLst>
        </c:dLbl>
      </c:pivotFmt>
      <c:pivotFmt>
        <c:idx val="7"/>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1.9277644642245802E-2"/>
          <c:y val="9.7129437767647459E-2"/>
          <c:w val="0.98072248602512468"/>
          <c:h val="0.79953032186766126"/>
        </c:manualLayout>
      </c:layout>
      <c:barChart>
        <c:barDir val="bar"/>
        <c:grouping val="clustered"/>
        <c:varyColors val="0"/>
        <c:ser>
          <c:idx val="0"/>
          <c:order val="0"/>
          <c:tx>
            <c:strRef>
              <c:f>'Pivot Report'!$B$43</c:f>
              <c:strCache>
                <c:ptCount val="1"/>
                <c:pt idx="0">
                  <c:v>Count of Patient Admission Flag</c:v>
                </c:pt>
              </c:strCache>
            </c:strRef>
          </c:tx>
          <c:spPr>
            <a:solidFill>
              <a:schemeClr val="bg1">
                <a:lumMod val="65000"/>
              </a:schemeClr>
            </a:solidFill>
          </c:spPr>
          <c:invertIfNegative val="0"/>
          <c:cat>
            <c:strRef>
              <c:f>'Pivot Report'!$A$44:$A$46</c:f>
              <c:strCache>
                <c:ptCount val="2"/>
                <c:pt idx="0">
                  <c:v>Admitted</c:v>
                </c:pt>
                <c:pt idx="1">
                  <c:v>Not Admitted</c:v>
                </c:pt>
              </c:strCache>
            </c:strRef>
          </c:cat>
          <c:val>
            <c:numRef>
              <c:f>'Pivot Report'!$B$44:$B$46</c:f>
              <c:numCache>
                <c:formatCode>0</c:formatCode>
                <c:ptCount val="2"/>
                <c:pt idx="0">
                  <c:v>236</c:v>
                </c:pt>
                <c:pt idx="1">
                  <c:v>228</c:v>
                </c:pt>
              </c:numCache>
            </c:numRef>
          </c:val>
          <c:extLst>
            <c:ext xmlns:c16="http://schemas.microsoft.com/office/drawing/2014/chart" uri="{C3380CC4-5D6E-409C-BE32-E72D297353CC}">
              <c16:uniqueId val="{0000000A-4C31-4B21-9BDC-08F20843647B}"/>
            </c:ext>
          </c:extLst>
        </c:ser>
        <c:ser>
          <c:idx val="1"/>
          <c:order val="1"/>
          <c:tx>
            <c:strRef>
              <c:f>'Pivot Report'!$C$43</c:f>
              <c:strCache>
                <c:ptCount val="1"/>
                <c:pt idx="0">
                  <c:v>Count of Patient Admission Flag2</c:v>
                </c:pt>
              </c:strCache>
            </c:strRef>
          </c:tx>
          <c:invertIfNegative val="0"/>
          <c:cat>
            <c:strRef>
              <c:f>'Pivot Report'!$A$44:$A$46</c:f>
              <c:strCache>
                <c:ptCount val="2"/>
                <c:pt idx="0">
                  <c:v>Admitted</c:v>
                </c:pt>
                <c:pt idx="1">
                  <c:v>Not Admitted</c:v>
                </c:pt>
              </c:strCache>
            </c:strRef>
          </c:cat>
          <c:val>
            <c:numRef>
              <c:f>'Pivot Report'!$C$44:$C$46</c:f>
              <c:numCache>
                <c:formatCode>0.00%</c:formatCode>
                <c:ptCount val="2"/>
                <c:pt idx="0">
                  <c:v>0.50862068965517238</c:v>
                </c:pt>
                <c:pt idx="1">
                  <c:v>0.49137931034482757</c:v>
                </c:pt>
              </c:numCache>
            </c:numRef>
          </c:val>
          <c:extLst>
            <c:ext xmlns:c16="http://schemas.microsoft.com/office/drawing/2014/chart" uri="{C3380CC4-5D6E-409C-BE32-E72D297353CC}">
              <c16:uniqueId val="{0000000B-4C31-4B21-9BDC-08F20843647B}"/>
            </c:ext>
          </c:extLst>
        </c:ser>
        <c:dLbls>
          <c:showLegendKey val="0"/>
          <c:showVal val="0"/>
          <c:showCatName val="0"/>
          <c:showSerName val="0"/>
          <c:showPercent val="0"/>
          <c:showBubbleSize val="0"/>
        </c:dLbls>
        <c:gapWidth val="0"/>
        <c:axId val="1055135872"/>
        <c:axId val="1055133952"/>
      </c:barChart>
      <c:catAx>
        <c:axId val="1055135872"/>
        <c:scaling>
          <c:orientation val="minMax"/>
        </c:scaling>
        <c:delete val="1"/>
        <c:axPos val="l"/>
        <c:numFmt formatCode="General" sourceLinked="1"/>
        <c:majorTickMark val="none"/>
        <c:minorTickMark val="none"/>
        <c:tickLblPos val="nextTo"/>
        <c:crossAx val="1055133952"/>
        <c:crosses val="autoZero"/>
        <c:auto val="1"/>
        <c:lblAlgn val="ctr"/>
        <c:lblOffset val="100"/>
        <c:noMultiLvlLbl val="0"/>
      </c:catAx>
      <c:valAx>
        <c:axId val="1055133952"/>
        <c:scaling>
          <c:orientation val="minMax"/>
        </c:scaling>
        <c:delete val="1"/>
        <c:axPos val="b"/>
        <c:numFmt formatCode="0" sourceLinked="1"/>
        <c:majorTickMark val="none"/>
        <c:minorTickMark val="none"/>
        <c:tickLblPos val="nextTo"/>
        <c:crossAx val="1055135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[Hospital ER Project.xlsx]Pivot Report!PivotTable7</c:name>
    <c:fmtId val="7"/>
  </c:pivotSource>
  <c:chart>
    <c:autoTitleDeleted val="1"/>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36775526010066E-3"/>
          <c:y val="4.0321824692358772E-3"/>
          <c:w val="0.99666322447398992"/>
          <c:h val="0.99596781753076413"/>
        </c:manualLayout>
      </c:layout>
      <c:areaChart>
        <c:grouping val="standard"/>
        <c:varyColors val="0"/>
        <c:ser>
          <c:idx val="0"/>
          <c:order val="0"/>
          <c:tx>
            <c:strRef>
              <c:f>'Pivot Report'!$E$4</c:f>
              <c:strCache>
                <c:ptCount val="1"/>
                <c:pt idx="0">
                  <c:v>Total</c:v>
                </c:pt>
              </c:strCache>
            </c:strRef>
          </c:tx>
          <c:spPr>
            <a:solidFill>
              <a:schemeClr val="accent3"/>
            </a:solidFill>
            <a:ln w="25400">
              <a:noFill/>
            </a:ln>
            <a:effectLst/>
          </c:spPr>
          <c:cat>
            <c:strRef>
              <c:f>'Pivot Report'!$D$5:$D$36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Report'!$E$5:$E$36</c:f>
              <c:numCache>
                <c:formatCode>General</c:formatCode>
                <c:ptCount val="31"/>
                <c:pt idx="0">
                  <c:v>15</c:v>
                </c:pt>
                <c:pt idx="1">
                  <c:v>9</c:v>
                </c:pt>
                <c:pt idx="2">
                  <c:v>16</c:v>
                </c:pt>
                <c:pt idx="3">
                  <c:v>16</c:v>
                </c:pt>
                <c:pt idx="4">
                  <c:v>8</c:v>
                </c:pt>
                <c:pt idx="5">
                  <c:v>12</c:v>
                </c:pt>
                <c:pt idx="6">
                  <c:v>15</c:v>
                </c:pt>
                <c:pt idx="7">
                  <c:v>12</c:v>
                </c:pt>
                <c:pt idx="8">
                  <c:v>16</c:v>
                </c:pt>
                <c:pt idx="9">
                  <c:v>17</c:v>
                </c:pt>
                <c:pt idx="10">
                  <c:v>17</c:v>
                </c:pt>
                <c:pt idx="11">
                  <c:v>14</c:v>
                </c:pt>
                <c:pt idx="12">
                  <c:v>20</c:v>
                </c:pt>
                <c:pt idx="13">
                  <c:v>15</c:v>
                </c:pt>
                <c:pt idx="14">
                  <c:v>15</c:v>
                </c:pt>
                <c:pt idx="15">
                  <c:v>14</c:v>
                </c:pt>
                <c:pt idx="16">
                  <c:v>16</c:v>
                </c:pt>
                <c:pt idx="17">
                  <c:v>14</c:v>
                </c:pt>
                <c:pt idx="18">
                  <c:v>16</c:v>
                </c:pt>
                <c:pt idx="19">
                  <c:v>14</c:v>
                </c:pt>
                <c:pt idx="20">
                  <c:v>13</c:v>
                </c:pt>
                <c:pt idx="21">
                  <c:v>19</c:v>
                </c:pt>
                <c:pt idx="22">
                  <c:v>15</c:v>
                </c:pt>
                <c:pt idx="23">
                  <c:v>18</c:v>
                </c:pt>
                <c:pt idx="24">
                  <c:v>14</c:v>
                </c:pt>
                <c:pt idx="25">
                  <c:v>16</c:v>
                </c:pt>
                <c:pt idx="26">
                  <c:v>13</c:v>
                </c:pt>
                <c:pt idx="27">
                  <c:v>12</c:v>
                </c:pt>
                <c:pt idx="28">
                  <c:v>19</c:v>
                </c:pt>
                <c:pt idx="29">
                  <c:v>19</c:v>
                </c:pt>
                <c:pt idx="30">
                  <c:v>15</c:v>
                </c:pt>
              </c:numCache>
            </c:numRef>
          </c:val>
          <c:extLst>
            <c:ext xmlns:c16="http://schemas.microsoft.com/office/drawing/2014/chart" uri="{C3380CC4-5D6E-409C-BE32-E72D297353CC}">
              <c16:uniqueId val="{00000004-1676-4E58-84FE-175F19C132F5}"/>
            </c:ext>
          </c:extLst>
        </c:ser>
        <c:dLbls>
          <c:showLegendKey val="0"/>
          <c:showVal val="0"/>
          <c:showCatName val="0"/>
          <c:showSerName val="0"/>
          <c:showPercent val="0"/>
          <c:showBubbleSize val="0"/>
        </c:dLbls>
        <c:axId val="1148188528"/>
        <c:axId val="1148182288"/>
      </c:areaChart>
      <c:catAx>
        <c:axId val="1148188528"/>
        <c:scaling>
          <c:orientation val="minMax"/>
        </c:scaling>
        <c:delete val="1"/>
        <c:axPos val="b"/>
        <c:numFmt formatCode="General" sourceLinked="1"/>
        <c:majorTickMark val="out"/>
        <c:minorTickMark val="none"/>
        <c:tickLblPos val="nextTo"/>
        <c:crossAx val="1148182288"/>
        <c:crosses val="autoZero"/>
        <c:auto val="1"/>
        <c:lblAlgn val="ctr"/>
        <c:lblOffset val="100"/>
        <c:noMultiLvlLbl val="0"/>
      </c:catAx>
      <c:valAx>
        <c:axId val="1148182288"/>
        <c:scaling>
          <c:orientation val="minMax"/>
        </c:scaling>
        <c:delete val="1"/>
        <c:axPos val="l"/>
        <c:numFmt formatCode="General" sourceLinked="1"/>
        <c:majorTickMark val="none"/>
        <c:minorTickMark val="none"/>
        <c:tickLblPos val="nextTo"/>
        <c:crossAx val="1148188528"/>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[Hospital ER Project.xlsx]Pivot Report!PivotTable8</c:name>
    <c:fmtId val="23"/>
  </c:pivotSource>
  <c:chart>
    <c:autoTitleDeleted val="1"/>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3"/>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3.2219491925696078E-3"/>
          <c:w val="1"/>
          <c:h val="0.99677807494965742"/>
        </c:manualLayout>
      </c:layout>
      <c:areaChart>
        <c:grouping val="standard"/>
        <c:varyColors val="0"/>
        <c:ser>
          <c:idx val="0"/>
          <c:order val="0"/>
          <c:tx>
            <c:strRef>
              <c:f>'Pivot Report'!$H$4</c:f>
              <c:strCache>
                <c:ptCount val="1"/>
                <c:pt idx="0">
                  <c:v>Total</c:v>
                </c:pt>
              </c:strCache>
            </c:strRef>
          </c:tx>
          <c:spPr>
            <a:solidFill>
              <a:schemeClr val="accent3"/>
            </a:solidFill>
            <a:ln w="25400">
              <a:noFill/>
            </a:ln>
            <a:effectLst/>
          </c:spPr>
          <c:cat>
            <c:strRef>
              <c:f>'Pivot Report'!$G$5:$G$36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Report'!$H$5:$H$36</c:f>
              <c:numCache>
                <c:formatCode>0.00</c:formatCode>
                <c:ptCount val="31"/>
                <c:pt idx="0">
                  <c:v>38.200000000000003</c:v>
                </c:pt>
                <c:pt idx="1">
                  <c:v>32.444444444444443</c:v>
                </c:pt>
                <c:pt idx="2">
                  <c:v>37.875</c:v>
                </c:pt>
                <c:pt idx="3">
                  <c:v>34.125</c:v>
                </c:pt>
                <c:pt idx="4">
                  <c:v>24.5</c:v>
                </c:pt>
                <c:pt idx="5">
                  <c:v>34.666666666666664</c:v>
                </c:pt>
                <c:pt idx="6">
                  <c:v>38.333333333333336</c:v>
                </c:pt>
                <c:pt idx="7">
                  <c:v>43.833333333333336</c:v>
                </c:pt>
                <c:pt idx="8">
                  <c:v>30.9375</c:v>
                </c:pt>
                <c:pt idx="9">
                  <c:v>34.941176470588232</c:v>
                </c:pt>
                <c:pt idx="10">
                  <c:v>30.294117647058822</c:v>
                </c:pt>
                <c:pt idx="11">
                  <c:v>32.428571428571431</c:v>
                </c:pt>
                <c:pt idx="12">
                  <c:v>31.1</c:v>
                </c:pt>
                <c:pt idx="13">
                  <c:v>34.333333333333336</c:v>
                </c:pt>
                <c:pt idx="14">
                  <c:v>28.6</c:v>
                </c:pt>
                <c:pt idx="15">
                  <c:v>32</c:v>
                </c:pt>
                <c:pt idx="16">
                  <c:v>37.625</c:v>
                </c:pt>
                <c:pt idx="17">
                  <c:v>37.785714285714285</c:v>
                </c:pt>
                <c:pt idx="18">
                  <c:v>36.375</c:v>
                </c:pt>
                <c:pt idx="19">
                  <c:v>38.857142857142854</c:v>
                </c:pt>
                <c:pt idx="20">
                  <c:v>37</c:v>
                </c:pt>
                <c:pt idx="21">
                  <c:v>33</c:v>
                </c:pt>
                <c:pt idx="22">
                  <c:v>33.333333333333336</c:v>
                </c:pt>
                <c:pt idx="23">
                  <c:v>36.944444444444443</c:v>
                </c:pt>
                <c:pt idx="24">
                  <c:v>34.357142857142854</c:v>
                </c:pt>
                <c:pt idx="25">
                  <c:v>39</c:v>
                </c:pt>
                <c:pt idx="26">
                  <c:v>32</c:v>
                </c:pt>
                <c:pt idx="27">
                  <c:v>33.5</c:v>
                </c:pt>
                <c:pt idx="28">
                  <c:v>37.89473684210526</c:v>
                </c:pt>
                <c:pt idx="29">
                  <c:v>32</c:v>
                </c:pt>
                <c:pt idx="30">
                  <c:v>35.133333333333333</c:v>
                </c:pt>
              </c:numCache>
            </c:numRef>
          </c:val>
          <c:extLst>
            <c:ext xmlns:c16="http://schemas.microsoft.com/office/drawing/2014/chart" uri="{C3380CC4-5D6E-409C-BE32-E72D297353CC}">
              <c16:uniqueId val="{00000004-5573-4D6D-BD7A-1A999B0A3C5D}"/>
            </c:ext>
          </c:extLst>
        </c:ser>
        <c:dLbls>
          <c:showLegendKey val="0"/>
          <c:showVal val="0"/>
          <c:showCatName val="0"/>
          <c:showSerName val="0"/>
          <c:showPercent val="0"/>
          <c:showBubbleSize val="0"/>
        </c:dLbls>
        <c:axId val="1143552160"/>
        <c:axId val="1143552640"/>
      </c:areaChart>
      <c:catAx>
        <c:axId val="1143552160"/>
        <c:scaling>
          <c:orientation val="minMax"/>
        </c:scaling>
        <c:delete val="1"/>
        <c:axPos val="b"/>
        <c:numFmt formatCode="General" sourceLinked="1"/>
        <c:majorTickMark val="out"/>
        <c:minorTickMark val="none"/>
        <c:tickLblPos val="nextTo"/>
        <c:crossAx val="1143552640"/>
        <c:crosses val="autoZero"/>
        <c:auto val="1"/>
        <c:lblAlgn val="ctr"/>
        <c:lblOffset val="100"/>
        <c:noMultiLvlLbl val="0"/>
      </c:catAx>
      <c:valAx>
        <c:axId val="1143552640"/>
        <c:scaling>
          <c:orientation val="minMax"/>
        </c:scaling>
        <c:delete val="1"/>
        <c:axPos val="l"/>
        <c:numFmt formatCode="0.00" sourceLinked="1"/>
        <c:majorTickMark val="none"/>
        <c:minorTickMark val="none"/>
        <c:tickLblPos val="nextTo"/>
        <c:crossAx val="11435521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Project.xlsx]Pivot Report!PivotTable9</c:name>
    <c:fmtId val="36"/>
  </c:pivotSource>
  <c:chart>
    <c:autoTitleDeleted val="1"/>
    <c:pivotFmts>
      <c:pivotFmt>
        <c:idx val="0"/>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6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9.6425070360180887E-2"/>
          <c:w val="1"/>
          <c:h val="0.90357492963981911"/>
        </c:manualLayout>
      </c:layout>
      <c:areaChart>
        <c:grouping val="standard"/>
        <c:varyColors val="0"/>
        <c:ser>
          <c:idx val="0"/>
          <c:order val="0"/>
          <c:tx>
            <c:strRef>
              <c:f>'Pivot Report'!$K$4</c:f>
              <c:strCache>
                <c:ptCount val="1"/>
                <c:pt idx="0">
                  <c:v>Total</c:v>
                </c:pt>
              </c:strCache>
            </c:strRef>
          </c:tx>
          <c:spPr>
            <a:solidFill>
              <a:schemeClr val="bg1">
                <a:lumMod val="65000"/>
              </a:schemeClr>
            </a:solidFill>
            <a:ln w="25400">
              <a:noFill/>
            </a:ln>
            <a:effectLst/>
          </c:spPr>
          <c:cat>
            <c:strRef>
              <c:f>'Pivot Report'!$J$5:$J$36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Report'!$K$5:$K$36</c:f>
              <c:numCache>
                <c:formatCode>0.00</c:formatCode>
                <c:ptCount val="31"/>
                <c:pt idx="0">
                  <c:v>2</c:v>
                </c:pt>
                <c:pt idx="1">
                  <c:v>6.5</c:v>
                </c:pt>
                <c:pt idx="2">
                  <c:v>2.5</c:v>
                </c:pt>
                <c:pt idx="3">
                  <c:v>2</c:v>
                </c:pt>
                <c:pt idx="4">
                  <c:v>2</c:v>
                </c:pt>
                <c:pt idx="5">
                  <c:v>6</c:v>
                </c:pt>
                <c:pt idx="6">
                  <c:v>4.5714285714285712</c:v>
                </c:pt>
                <c:pt idx="7">
                  <c:v>4.333333333333333</c:v>
                </c:pt>
                <c:pt idx="8">
                  <c:v>7</c:v>
                </c:pt>
                <c:pt idx="9">
                  <c:v>7.666666666666667</c:v>
                </c:pt>
                <c:pt idx="10">
                  <c:v>4.5</c:v>
                </c:pt>
                <c:pt idx="11">
                  <c:v>4</c:v>
                </c:pt>
                <c:pt idx="12">
                  <c:v>5.25</c:v>
                </c:pt>
                <c:pt idx="13">
                  <c:v>3.5</c:v>
                </c:pt>
                <c:pt idx="14">
                  <c:v>8.3333333333333339</c:v>
                </c:pt>
                <c:pt idx="15">
                  <c:v>4.5</c:v>
                </c:pt>
                <c:pt idx="16">
                  <c:v>5</c:v>
                </c:pt>
                <c:pt idx="17">
                  <c:v>1</c:v>
                </c:pt>
                <c:pt idx="18">
                  <c:v>5.6</c:v>
                </c:pt>
                <c:pt idx="19">
                  <c:v>3</c:v>
                </c:pt>
                <c:pt idx="20">
                  <c:v>5.666666666666667</c:v>
                </c:pt>
                <c:pt idx="21">
                  <c:v>5.5</c:v>
                </c:pt>
                <c:pt idx="22">
                  <c:v>5.2</c:v>
                </c:pt>
                <c:pt idx="23">
                  <c:v>4</c:v>
                </c:pt>
                <c:pt idx="24">
                  <c:v>4.75</c:v>
                </c:pt>
                <c:pt idx="25">
                  <c:v>4.75</c:v>
                </c:pt>
                <c:pt idx="26">
                  <c:v>6.5</c:v>
                </c:pt>
                <c:pt idx="27">
                  <c:v>5</c:v>
                </c:pt>
                <c:pt idx="28">
                  <c:v>6.333333333333333</c:v>
                </c:pt>
                <c:pt idx="29">
                  <c:v>6</c:v>
                </c:pt>
                <c:pt idx="30">
                  <c:v>8.1666666666666661</c:v>
                </c:pt>
              </c:numCache>
            </c:numRef>
          </c:val>
          <c:extLst>
            <c:ext xmlns:c16="http://schemas.microsoft.com/office/drawing/2014/chart" uri="{C3380CC4-5D6E-409C-BE32-E72D297353CC}">
              <c16:uniqueId val="{00000004-A07A-49A2-88C4-E5BABB52A201}"/>
            </c:ext>
          </c:extLst>
        </c:ser>
        <c:dLbls>
          <c:showLegendKey val="0"/>
          <c:showVal val="0"/>
          <c:showCatName val="0"/>
          <c:showSerName val="0"/>
          <c:showPercent val="0"/>
          <c:showBubbleSize val="0"/>
        </c:dLbls>
        <c:axId val="1009084944"/>
        <c:axId val="1009097424"/>
      </c:areaChart>
      <c:catAx>
        <c:axId val="1009084944"/>
        <c:scaling>
          <c:orientation val="minMax"/>
        </c:scaling>
        <c:delete val="1"/>
        <c:axPos val="b"/>
        <c:numFmt formatCode="General" sourceLinked="1"/>
        <c:majorTickMark val="out"/>
        <c:minorTickMark val="none"/>
        <c:tickLblPos val="nextTo"/>
        <c:crossAx val="1009097424"/>
        <c:crosses val="autoZero"/>
        <c:auto val="1"/>
        <c:lblAlgn val="ctr"/>
        <c:lblOffset val="100"/>
        <c:noMultiLvlLbl val="0"/>
      </c:catAx>
      <c:valAx>
        <c:axId val="1009097424"/>
        <c:scaling>
          <c:orientation val="minMax"/>
        </c:scaling>
        <c:delete val="1"/>
        <c:axPos val="l"/>
        <c:numFmt formatCode="0.00" sourceLinked="1"/>
        <c:majorTickMark val="none"/>
        <c:minorTickMark val="none"/>
        <c:tickLblPos val="nextTo"/>
        <c:crossAx val="100908494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Project.xlsx]Pivot Report!PivotTable2</c:name>
    <c:fmtId val="10"/>
  </c:pivotSource>
  <c:chart>
    <c:autoTitleDeleted val="1"/>
    <c:pivotFmts>
      <c:pivotFmt>
        <c:idx val="0"/>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147839830647874E-2"/>
          <c:y val="6.9609544774645107E-2"/>
          <c:w val="0.94941261418373246"/>
          <c:h val="0.70001519546898738"/>
        </c:manualLayout>
      </c:layout>
      <c:barChart>
        <c:barDir val="col"/>
        <c:grouping val="clustered"/>
        <c:varyColors val="0"/>
        <c:ser>
          <c:idx val="0"/>
          <c:order val="0"/>
          <c:tx>
            <c:strRef>
              <c:f>'Pivot Report'!$B$57</c:f>
              <c:strCache>
                <c:ptCount val="1"/>
                <c:pt idx="0">
                  <c:v>Total</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Report'!$A$58:$A$66</c:f>
              <c:strCache>
                <c:ptCount val="8"/>
                <c:pt idx="0">
                  <c:v>0-09</c:v>
                </c:pt>
                <c:pt idx="1">
                  <c:v>10-19</c:v>
                </c:pt>
                <c:pt idx="2">
                  <c:v>20-29</c:v>
                </c:pt>
                <c:pt idx="3">
                  <c:v>30-39</c:v>
                </c:pt>
                <c:pt idx="4">
                  <c:v>40-49</c:v>
                </c:pt>
                <c:pt idx="5">
                  <c:v>50-59</c:v>
                </c:pt>
                <c:pt idx="6">
                  <c:v>60-69</c:v>
                </c:pt>
                <c:pt idx="7">
                  <c:v>70-79</c:v>
                </c:pt>
              </c:strCache>
            </c:strRef>
          </c:cat>
          <c:val>
            <c:numRef>
              <c:f>'Pivot Report'!$B$58:$B$66</c:f>
              <c:numCache>
                <c:formatCode>0</c:formatCode>
                <c:ptCount val="8"/>
                <c:pt idx="0">
                  <c:v>61</c:v>
                </c:pt>
                <c:pt idx="1">
                  <c:v>53</c:v>
                </c:pt>
                <c:pt idx="2">
                  <c:v>71</c:v>
                </c:pt>
                <c:pt idx="3">
                  <c:v>59</c:v>
                </c:pt>
                <c:pt idx="4">
                  <c:v>63</c:v>
                </c:pt>
                <c:pt idx="5">
                  <c:v>63</c:v>
                </c:pt>
                <c:pt idx="6">
                  <c:v>37</c:v>
                </c:pt>
                <c:pt idx="7">
                  <c:v>57</c:v>
                </c:pt>
              </c:numCache>
            </c:numRef>
          </c:val>
          <c:extLst>
            <c:ext xmlns:c16="http://schemas.microsoft.com/office/drawing/2014/chart" uri="{C3380CC4-5D6E-409C-BE32-E72D297353CC}">
              <c16:uniqueId val="{00000005-2D44-4FDA-94F5-1B1BEC21D662}"/>
            </c:ext>
          </c:extLst>
        </c:ser>
        <c:dLbls>
          <c:showLegendKey val="0"/>
          <c:showVal val="0"/>
          <c:showCatName val="0"/>
          <c:showSerName val="0"/>
          <c:showPercent val="0"/>
          <c:showBubbleSize val="0"/>
        </c:dLbls>
        <c:gapWidth val="219"/>
        <c:overlap val="-27"/>
        <c:axId val="1182760464"/>
        <c:axId val="1182761424"/>
      </c:barChart>
      <c:catAx>
        <c:axId val="1182760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761424"/>
        <c:crosses val="autoZero"/>
        <c:auto val="1"/>
        <c:lblAlgn val="ctr"/>
        <c:lblOffset val="100"/>
        <c:noMultiLvlLbl val="0"/>
      </c:catAx>
      <c:valAx>
        <c:axId val="1182761424"/>
        <c:scaling>
          <c:orientation val="minMax"/>
        </c:scaling>
        <c:delete val="1"/>
        <c:axPos val="l"/>
        <c:numFmt formatCode="0" sourceLinked="1"/>
        <c:majorTickMark val="none"/>
        <c:minorTickMark val="none"/>
        <c:tickLblPos val="nextTo"/>
        <c:crossAx val="1182760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Project.xlsx]Pivot Report!PivotTable3</c:name>
    <c:fmtId val="16"/>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bg1">
              <a:lumMod val="50000"/>
            </a:schemeClr>
          </a:solidFill>
          <a:ln>
            <a:noFill/>
          </a:ln>
          <a:effectLst/>
        </c:spPr>
      </c:pivotFmt>
      <c:pivotFmt>
        <c:idx val="6"/>
        <c:spPr>
          <a:solidFill>
            <a:schemeClr val="accent1"/>
          </a:solidFill>
          <a:ln>
            <a:noFill/>
          </a:ln>
          <a:effectLst/>
        </c:spPr>
      </c:pivotFmt>
    </c:pivotFmts>
    <c:plotArea>
      <c:layout>
        <c:manualLayout>
          <c:layoutTarget val="inner"/>
          <c:xMode val="edge"/>
          <c:yMode val="edge"/>
          <c:x val="0.2509528700216821"/>
          <c:y val="0.21289919232198978"/>
          <c:w val="0.57768434044894534"/>
          <c:h val="0.76385997727295585"/>
        </c:manualLayout>
      </c:layout>
      <c:pieChart>
        <c:varyColors val="1"/>
        <c:ser>
          <c:idx val="0"/>
          <c:order val="0"/>
          <c:tx>
            <c:strRef>
              <c:f>'Pivot Report'!$B$73</c:f>
              <c:strCache>
                <c:ptCount val="1"/>
                <c:pt idx="0">
                  <c:v>Total</c:v>
                </c:pt>
              </c:strCache>
            </c:strRef>
          </c:tx>
          <c:spPr>
            <a:effectLst/>
          </c:spPr>
          <c:dPt>
            <c:idx val="0"/>
            <c:bubble3D val="0"/>
            <c:spPr>
              <a:solidFill>
                <a:schemeClr val="bg1">
                  <a:lumMod val="50000"/>
                </a:schemeClr>
              </a:solidFill>
              <a:ln>
                <a:noFill/>
              </a:ln>
              <a:effectLst/>
            </c:spPr>
            <c:extLst>
              <c:ext xmlns:c16="http://schemas.microsoft.com/office/drawing/2014/chart" uri="{C3380CC4-5D6E-409C-BE32-E72D297353CC}">
                <c16:uniqueId val="{00000001-561E-4DCD-A463-F651711CBA39}"/>
              </c:ext>
            </c:extLst>
          </c:dPt>
          <c:dPt>
            <c:idx val="1"/>
            <c:bubble3D val="0"/>
            <c:spPr>
              <a:solidFill>
                <a:schemeClr val="accent2"/>
              </a:solidFill>
              <a:ln>
                <a:noFill/>
              </a:ln>
              <a:effectLst/>
            </c:spPr>
            <c:extLst>
              <c:ext xmlns:c16="http://schemas.microsoft.com/office/drawing/2014/chart" uri="{C3380CC4-5D6E-409C-BE32-E72D297353CC}">
                <c16:uniqueId val="{00000003-561E-4DCD-A463-F651711CBA3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Report'!$A$74:$A$76</c:f>
              <c:strCache>
                <c:ptCount val="2"/>
                <c:pt idx="0">
                  <c:v>Delay</c:v>
                </c:pt>
                <c:pt idx="1">
                  <c:v>Ontime</c:v>
                </c:pt>
              </c:strCache>
            </c:strRef>
          </c:cat>
          <c:val>
            <c:numRef>
              <c:f>'Pivot Report'!$B$74:$B$76</c:f>
              <c:numCache>
                <c:formatCode>0</c:formatCode>
                <c:ptCount val="2"/>
                <c:pt idx="0">
                  <c:v>267</c:v>
                </c:pt>
                <c:pt idx="1">
                  <c:v>197</c:v>
                </c:pt>
              </c:numCache>
            </c:numRef>
          </c:val>
          <c:extLst>
            <c:ext xmlns:c16="http://schemas.microsoft.com/office/drawing/2014/chart" uri="{C3380CC4-5D6E-409C-BE32-E72D297353CC}">
              <c16:uniqueId val="{00000009-1069-4FBB-BE77-042CBE7D211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28229449579672106"/>
          <c:y val="3.9206177553986012E-2"/>
          <c:w val="0.52792264281412415"/>
          <c:h val="0.140625984251968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Project.xlsx]Pivot Report!PivotTable5</c:name>
    <c:fmtId val="20"/>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bg1">
              <a:lumMod val="65000"/>
            </a:schemeClr>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bg1">
              <a:lumMod val="65000"/>
            </a:schemeClr>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50000"/>
            </a:schemeClr>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7513324413835455"/>
          <c:y val="0.20990843072867013"/>
          <c:w val="0.488767281527135"/>
          <c:h val="0.78684956981274201"/>
        </c:manualLayout>
      </c:layout>
      <c:doughnutChart>
        <c:varyColors val="1"/>
        <c:ser>
          <c:idx val="0"/>
          <c:order val="0"/>
          <c:tx>
            <c:strRef>
              <c:f>'Pivot Report'!$B$81</c:f>
              <c:strCache>
                <c:ptCount val="1"/>
                <c:pt idx="0">
                  <c:v>Total</c:v>
                </c:pt>
              </c:strCache>
            </c:strRef>
          </c:tx>
          <c:dPt>
            <c:idx val="0"/>
            <c:bubble3D val="0"/>
            <c:spPr>
              <a:solidFill>
                <a:schemeClr val="bg1">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618-4015-B56B-3BE94B5B7014}"/>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618-4015-B56B-3BE94B5B7014}"/>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Report'!$A$82:$A$84</c:f>
              <c:strCache>
                <c:ptCount val="2"/>
                <c:pt idx="0">
                  <c:v>Female</c:v>
                </c:pt>
                <c:pt idx="1">
                  <c:v>Male</c:v>
                </c:pt>
              </c:strCache>
            </c:strRef>
          </c:cat>
          <c:val>
            <c:numRef>
              <c:f>'Pivot Report'!$B$82:$B$84</c:f>
              <c:numCache>
                <c:formatCode>0</c:formatCode>
                <c:ptCount val="2"/>
                <c:pt idx="0">
                  <c:v>228</c:v>
                </c:pt>
                <c:pt idx="1">
                  <c:v>236</c:v>
                </c:pt>
              </c:numCache>
            </c:numRef>
          </c:val>
          <c:extLst>
            <c:ext xmlns:c16="http://schemas.microsoft.com/office/drawing/2014/chart" uri="{C3380CC4-5D6E-409C-BE32-E72D297353CC}">
              <c16:uniqueId val="{00000009-BFC1-483A-9170-8CA56DDC0E95}"/>
            </c:ext>
          </c:extLst>
        </c:ser>
        <c:dLbls>
          <c:showLegendKey val="0"/>
          <c:showVal val="0"/>
          <c:showCatName val="0"/>
          <c:showSerName val="0"/>
          <c:showPercent val="1"/>
          <c:showBubbleSize val="0"/>
          <c:showLeaderLines val="1"/>
        </c:dLbls>
        <c:firstSliceAng val="0"/>
        <c:holeSize val="40"/>
      </c:doughnutChart>
      <c:spPr>
        <a:noFill/>
        <a:ln>
          <a:noFill/>
        </a:ln>
        <a:effectLst/>
      </c:spPr>
    </c:plotArea>
    <c:legend>
      <c:legendPos val="r"/>
      <c:layout>
        <c:manualLayout>
          <c:xMode val="edge"/>
          <c:yMode val="edge"/>
          <c:x val="0.31762660934792619"/>
          <c:y val="2.8746456692913386E-2"/>
          <c:w val="0.43429254490820968"/>
          <c:h val="0.155083977731483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ER Project.xlsx]Pivot Report!PivotTable11</c:name>
    <c:fmtId val="24"/>
  </c:pivotSource>
  <c:chart>
    <c:autoTitleDeleted val="1"/>
    <c:pivotFmts>
      <c:pivotFmt>
        <c:idx val="0"/>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6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Report'!$B$89</c:f>
              <c:strCache>
                <c:ptCount val="1"/>
                <c:pt idx="0">
                  <c:v>Total</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Report'!$A$90:$A$98</c:f>
              <c:strCache>
                <c:ptCount val="8"/>
                <c:pt idx="0">
                  <c:v>Renal</c:v>
                </c:pt>
                <c:pt idx="1">
                  <c:v>Gastroenterology</c:v>
                </c:pt>
                <c:pt idx="2">
                  <c:v>Neurology</c:v>
                </c:pt>
                <c:pt idx="3">
                  <c:v>Physiotherapy</c:v>
                </c:pt>
                <c:pt idx="4">
                  <c:v>Cardiology</c:v>
                </c:pt>
                <c:pt idx="5">
                  <c:v>Orthopedics</c:v>
                </c:pt>
                <c:pt idx="6">
                  <c:v>General Practice</c:v>
                </c:pt>
                <c:pt idx="7">
                  <c:v>None</c:v>
                </c:pt>
              </c:strCache>
            </c:strRef>
          </c:cat>
          <c:val>
            <c:numRef>
              <c:f>'Pivot Report'!$B$90:$B$98</c:f>
              <c:numCache>
                <c:formatCode>0</c:formatCode>
                <c:ptCount val="8"/>
                <c:pt idx="0">
                  <c:v>3</c:v>
                </c:pt>
                <c:pt idx="1">
                  <c:v>8</c:v>
                </c:pt>
                <c:pt idx="2">
                  <c:v>9</c:v>
                </c:pt>
                <c:pt idx="3">
                  <c:v>11</c:v>
                </c:pt>
                <c:pt idx="4">
                  <c:v>12</c:v>
                </c:pt>
                <c:pt idx="5">
                  <c:v>54</c:v>
                </c:pt>
                <c:pt idx="6">
                  <c:v>87</c:v>
                </c:pt>
                <c:pt idx="7">
                  <c:v>280</c:v>
                </c:pt>
              </c:numCache>
            </c:numRef>
          </c:val>
          <c:extLst>
            <c:ext xmlns:c16="http://schemas.microsoft.com/office/drawing/2014/chart" uri="{C3380CC4-5D6E-409C-BE32-E72D297353CC}">
              <c16:uniqueId val="{00000005-6B92-46B2-B9F2-D367E142491A}"/>
            </c:ext>
          </c:extLst>
        </c:ser>
        <c:dLbls>
          <c:showLegendKey val="0"/>
          <c:showVal val="0"/>
          <c:showCatName val="0"/>
          <c:showSerName val="0"/>
          <c:showPercent val="0"/>
          <c:showBubbleSize val="0"/>
        </c:dLbls>
        <c:gapWidth val="30"/>
        <c:axId val="357454655"/>
        <c:axId val="357452255"/>
      </c:barChart>
      <c:catAx>
        <c:axId val="357454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357452255"/>
        <c:crosses val="autoZero"/>
        <c:auto val="1"/>
        <c:lblAlgn val="ctr"/>
        <c:lblOffset val="100"/>
        <c:noMultiLvlLbl val="0"/>
      </c:catAx>
      <c:valAx>
        <c:axId val="357452255"/>
        <c:scaling>
          <c:orientation val="minMax"/>
        </c:scaling>
        <c:delete val="1"/>
        <c:axPos val="b"/>
        <c:numFmt formatCode="0" sourceLinked="1"/>
        <c:majorTickMark val="none"/>
        <c:minorTickMark val="none"/>
        <c:tickLblPos val="nextTo"/>
        <c:crossAx val="357454655"/>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[Hospital ER Project.xlsx]Pivot Report!PivotTable8</c:name>
    <c:fmtId val="2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3.2219491925696078E-3"/>
          <c:w val="1"/>
          <c:h val="0.99677807494965742"/>
        </c:manualLayout>
      </c:layout>
      <c:areaChart>
        <c:grouping val="standard"/>
        <c:varyColors val="0"/>
        <c:ser>
          <c:idx val="0"/>
          <c:order val="0"/>
          <c:tx>
            <c:strRef>
              <c:f>'Pivot Report'!$H$4</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Report'!$G$5:$G$36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Report'!$H$5:$H$36</c:f>
              <c:numCache>
                <c:formatCode>0.00</c:formatCode>
                <c:ptCount val="31"/>
                <c:pt idx="0">
                  <c:v>38.200000000000003</c:v>
                </c:pt>
                <c:pt idx="1">
                  <c:v>32.444444444444443</c:v>
                </c:pt>
                <c:pt idx="2">
                  <c:v>37.875</c:v>
                </c:pt>
                <c:pt idx="3">
                  <c:v>34.125</c:v>
                </c:pt>
                <c:pt idx="4">
                  <c:v>24.5</c:v>
                </c:pt>
                <c:pt idx="5">
                  <c:v>34.666666666666664</c:v>
                </c:pt>
                <c:pt idx="6">
                  <c:v>38.333333333333336</c:v>
                </c:pt>
                <c:pt idx="7">
                  <c:v>43.833333333333336</c:v>
                </c:pt>
                <c:pt idx="8">
                  <c:v>30.9375</c:v>
                </c:pt>
                <c:pt idx="9">
                  <c:v>34.941176470588232</c:v>
                </c:pt>
                <c:pt idx="10">
                  <c:v>30.294117647058822</c:v>
                </c:pt>
                <c:pt idx="11">
                  <c:v>32.428571428571431</c:v>
                </c:pt>
                <c:pt idx="12">
                  <c:v>31.1</c:v>
                </c:pt>
                <c:pt idx="13">
                  <c:v>34.333333333333336</c:v>
                </c:pt>
                <c:pt idx="14">
                  <c:v>28.6</c:v>
                </c:pt>
                <c:pt idx="15">
                  <c:v>32</c:v>
                </c:pt>
                <c:pt idx="16">
                  <c:v>37.625</c:v>
                </c:pt>
                <c:pt idx="17">
                  <c:v>37.785714285714285</c:v>
                </c:pt>
                <c:pt idx="18">
                  <c:v>36.375</c:v>
                </c:pt>
                <c:pt idx="19">
                  <c:v>38.857142857142854</c:v>
                </c:pt>
                <c:pt idx="20">
                  <c:v>37</c:v>
                </c:pt>
                <c:pt idx="21">
                  <c:v>33</c:v>
                </c:pt>
                <c:pt idx="22">
                  <c:v>33.333333333333336</c:v>
                </c:pt>
                <c:pt idx="23">
                  <c:v>36.944444444444443</c:v>
                </c:pt>
                <c:pt idx="24">
                  <c:v>34.357142857142854</c:v>
                </c:pt>
                <c:pt idx="25">
                  <c:v>39</c:v>
                </c:pt>
                <c:pt idx="26">
                  <c:v>32</c:v>
                </c:pt>
                <c:pt idx="27">
                  <c:v>33.5</c:v>
                </c:pt>
                <c:pt idx="28">
                  <c:v>37.89473684210526</c:v>
                </c:pt>
                <c:pt idx="29">
                  <c:v>32</c:v>
                </c:pt>
                <c:pt idx="30">
                  <c:v>35.133333333333333</c:v>
                </c:pt>
              </c:numCache>
            </c:numRef>
          </c:val>
          <c:extLst>
            <c:ext xmlns:c16="http://schemas.microsoft.com/office/drawing/2014/chart" uri="{C3380CC4-5D6E-409C-BE32-E72D297353CC}">
              <c16:uniqueId val="{00000003-C003-44B8-8176-ACDC90D3DB09}"/>
            </c:ext>
          </c:extLst>
        </c:ser>
        <c:dLbls>
          <c:showLegendKey val="0"/>
          <c:showVal val="1"/>
          <c:showCatName val="0"/>
          <c:showSerName val="0"/>
          <c:showPercent val="0"/>
          <c:showBubbleSize val="0"/>
        </c:dLbls>
        <c:axId val="1143552160"/>
        <c:axId val="1143552640"/>
      </c:areaChart>
      <c:catAx>
        <c:axId val="1143552160"/>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270000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3552640"/>
        <c:crosses val="autoZero"/>
        <c:auto val="1"/>
        <c:lblAlgn val="ctr"/>
        <c:lblOffset val="100"/>
        <c:noMultiLvlLbl val="0"/>
      </c:catAx>
      <c:valAx>
        <c:axId val="1143552640"/>
        <c:scaling>
          <c:orientation val="minMax"/>
        </c:scaling>
        <c:delete val="1"/>
        <c:axPos val="l"/>
        <c:majorGridlines>
          <c:spPr>
            <a:ln w="9525" cap="flat" cmpd="sng" algn="ctr">
              <a:noFill/>
              <a:round/>
            </a:ln>
            <a:effectLst/>
          </c:spPr>
        </c:majorGridlines>
        <c:numFmt formatCode="0.00" sourceLinked="1"/>
        <c:majorTickMark val="none"/>
        <c:minorTickMark val="none"/>
        <c:tickLblPos val="nextTo"/>
        <c:crossAx val="1143552160"/>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[Hospital ER Project.xlsx]Pivot Report!PivotTable7</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Report'!$E$4</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Report'!$D$5:$D$36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Report'!$E$5:$E$36</c:f>
              <c:numCache>
                <c:formatCode>General</c:formatCode>
                <c:ptCount val="31"/>
                <c:pt idx="0">
                  <c:v>15</c:v>
                </c:pt>
                <c:pt idx="1">
                  <c:v>9</c:v>
                </c:pt>
                <c:pt idx="2">
                  <c:v>16</c:v>
                </c:pt>
                <c:pt idx="3">
                  <c:v>16</c:v>
                </c:pt>
                <c:pt idx="4">
                  <c:v>8</c:v>
                </c:pt>
                <c:pt idx="5">
                  <c:v>12</c:v>
                </c:pt>
                <c:pt idx="6">
                  <c:v>15</c:v>
                </c:pt>
                <c:pt idx="7">
                  <c:v>12</c:v>
                </c:pt>
                <c:pt idx="8">
                  <c:v>16</c:v>
                </c:pt>
                <c:pt idx="9">
                  <c:v>17</c:v>
                </c:pt>
                <c:pt idx="10">
                  <c:v>17</c:v>
                </c:pt>
                <c:pt idx="11">
                  <c:v>14</c:v>
                </c:pt>
                <c:pt idx="12">
                  <c:v>20</c:v>
                </c:pt>
                <c:pt idx="13">
                  <c:v>15</c:v>
                </c:pt>
                <c:pt idx="14">
                  <c:v>15</c:v>
                </c:pt>
                <c:pt idx="15">
                  <c:v>14</c:v>
                </c:pt>
                <c:pt idx="16">
                  <c:v>16</c:v>
                </c:pt>
                <c:pt idx="17">
                  <c:v>14</c:v>
                </c:pt>
                <c:pt idx="18">
                  <c:v>16</c:v>
                </c:pt>
                <c:pt idx="19">
                  <c:v>14</c:v>
                </c:pt>
                <c:pt idx="20">
                  <c:v>13</c:v>
                </c:pt>
                <c:pt idx="21">
                  <c:v>19</c:v>
                </c:pt>
                <c:pt idx="22">
                  <c:v>15</c:v>
                </c:pt>
                <c:pt idx="23">
                  <c:v>18</c:v>
                </c:pt>
                <c:pt idx="24">
                  <c:v>14</c:v>
                </c:pt>
                <c:pt idx="25">
                  <c:v>16</c:v>
                </c:pt>
                <c:pt idx="26">
                  <c:v>13</c:v>
                </c:pt>
                <c:pt idx="27">
                  <c:v>12</c:v>
                </c:pt>
                <c:pt idx="28">
                  <c:v>19</c:v>
                </c:pt>
                <c:pt idx="29">
                  <c:v>19</c:v>
                </c:pt>
                <c:pt idx="30">
                  <c:v>15</c:v>
                </c:pt>
              </c:numCache>
            </c:numRef>
          </c:val>
          <c:extLst>
            <c:ext xmlns:c16="http://schemas.microsoft.com/office/drawing/2014/chart" uri="{C3380CC4-5D6E-409C-BE32-E72D297353CC}">
              <c16:uniqueId val="{00000003-DAE7-4D7E-880F-82A572ACDAFD}"/>
            </c:ext>
          </c:extLst>
        </c:ser>
        <c:dLbls>
          <c:showLegendKey val="0"/>
          <c:showVal val="0"/>
          <c:showCatName val="0"/>
          <c:showSerName val="0"/>
          <c:showPercent val="0"/>
          <c:showBubbleSize val="0"/>
        </c:dLbls>
        <c:axId val="1148188528"/>
        <c:axId val="1148182288"/>
      </c:areaChart>
      <c:catAx>
        <c:axId val="1148188528"/>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270000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48182288"/>
        <c:crosses val="autoZero"/>
        <c:auto val="1"/>
        <c:lblAlgn val="ctr"/>
        <c:lblOffset val="100"/>
        <c:noMultiLvlLbl val="0"/>
      </c:catAx>
      <c:valAx>
        <c:axId val="1148182288"/>
        <c:scaling>
          <c:orientation val="minMax"/>
        </c:scaling>
        <c:delete val="1"/>
        <c:axPos val="l"/>
        <c:numFmt formatCode="General" sourceLinked="1"/>
        <c:majorTickMark val="none"/>
        <c:minorTickMark val="none"/>
        <c:tickLblPos val="nextTo"/>
        <c:crossAx val="114818852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[Hospital ER Project.xlsx]Pivot Report!PivotTable9</c:name>
    <c:fmtId val="3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Report'!$K$4</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Report'!$J$5:$J$36</c:f>
              <c:strCache>
                <c:ptCount val="31"/>
                <c:pt idx="0">
                  <c:v>1-Jul</c:v>
                </c:pt>
                <c:pt idx="1">
                  <c:v>2-Jul</c:v>
                </c:pt>
                <c:pt idx="2">
                  <c:v>3-Jul</c:v>
                </c:pt>
                <c:pt idx="3">
                  <c:v>4-Jul</c:v>
                </c:pt>
                <c:pt idx="4">
                  <c:v>5-Jul</c:v>
                </c:pt>
                <c:pt idx="5">
                  <c:v>6-Jul</c:v>
                </c:pt>
                <c:pt idx="6">
                  <c:v>7-Jul</c:v>
                </c:pt>
                <c:pt idx="7">
                  <c:v>8-Jul</c:v>
                </c:pt>
                <c:pt idx="8">
                  <c:v>9-Jul</c:v>
                </c:pt>
                <c:pt idx="9">
                  <c:v>10-Jul</c:v>
                </c:pt>
                <c:pt idx="10">
                  <c:v>11-Jul</c:v>
                </c:pt>
                <c:pt idx="11">
                  <c:v>12-Jul</c:v>
                </c:pt>
                <c:pt idx="12">
                  <c:v>13-Jul</c:v>
                </c:pt>
                <c:pt idx="13">
                  <c:v>14-Jul</c:v>
                </c:pt>
                <c:pt idx="14">
                  <c:v>15-Jul</c:v>
                </c:pt>
                <c:pt idx="15">
                  <c:v>16-Jul</c:v>
                </c:pt>
                <c:pt idx="16">
                  <c:v>17-Jul</c:v>
                </c:pt>
                <c:pt idx="17">
                  <c:v>18-Jul</c:v>
                </c:pt>
                <c:pt idx="18">
                  <c:v>19-Jul</c:v>
                </c:pt>
                <c:pt idx="19">
                  <c:v>20-Jul</c:v>
                </c:pt>
                <c:pt idx="20">
                  <c:v>21-Jul</c:v>
                </c:pt>
                <c:pt idx="21">
                  <c:v>22-Jul</c:v>
                </c:pt>
                <c:pt idx="22">
                  <c:v>23-Jul</c:v>
                </c:pt>
                <c:pt idx="23">
                  <c:v>24-Jul</c:v>
                </c:pt>
                <c:pt idx="24">
                  <c:v>25-Jul</c:v>
                </c:pt>
                <c:pt idx="25">
                  <c:v>26-Jul</c:v>
                </c:pt>
                <c:pt idx="26">
                  <c:v>27-Jul</c:v>
                </c:pt>
                <c:pt idx="27">
                  <c:v>28-Jul</c:v>
                </c:pt>
                <c:pt idx="28">
                  <c:v>29-Jul</c:v>
                </c:pt>
                <c:pt idx="29">
                  <c:v>30-Jul</c:v>
                </c:pt>
                <c:pt idx="30">
                  <c:v>31-Jul</c:v>
                </c:pt>
              </c:strCache>
            </c:strRef>
          </c:cat>
          <c:val>
            <c:numRef>
              <c:f>'Pivot Report'!$K$5:$K$36</c:f>
              <c:numCache>
                <c:formatCode>0.00</c:formatCode>
                <c:ptCount val="31"/>
                <c:pt idx="0">
                  <c:v>2</c:v>
                </c:pt>
                <c:pt idx="1">
                  <c:v>6.5</c:v>
                </c:pt>
                <c:pt idx="2">
                  <c:v>2.5</c:v>
                </c:pt>
                <c:pt idx="3">
                  <c:v>2</c:v>
                </c:pt>
                <c:pt idx="4">
                  <c:v>2</c:v>
                </c:pt>
                <c:pt idx="5">
                  <c:v>6</c:v>
                </c:pt>
                <c:pt idx="6">
                  <c:v>4.5714285714285712</c:v>
                </c:pt>
                <c:pt idx="7">
                  <c:v>4.333333333333333</c:v>
                </c:pt>
                <c:pt idx="8">
                  <c:v>7</c:v>
                </c:pt>
                <c:pt idx="9">
                  <c:v>7.666666666666667</c:v>
                </c:pt>
                <c:pt idx="10">
                  <c:v>4.5</c:v>
                </c:pt>
                <c:pt idx="11">
                  <c:v>4</c:v>
                </c:pt>
                <c:pt idx="12">
                  <c:v>5.25</c:v>
                </c:pt>
                <c:pt idx="13">
                  <c:v>3.5</c:v>
                </c:pt>
                <c:pt idx="14">
                  <c:v>8.3333333333333339</c:v>
                </c:pt>
                <c:pt idx="15">
                  <c:v>4.5</c:v>
                </c:pt>
                <c:pt idx="16">
                  <c:v>5</c:v>
                </c:pt>
                <c:pt idx="17">
                  <c:v>1</c:v>
                </c:pt>
                <c:pt idx="18">
                  <c:v>5.6</c:v>
                </c:pt>
                <c:pt idx="19">
                  <c:v>3</c:v>
                </c:pt>
                <c:pt idx="20">
                  <c:v>5.666666666666667</c:v>
                </c:pt>
                <c:pt idx="21">
                  <c:v>5.5</c:v>
                </c:pt>
                <c:pt idx="22">
                  <c:v>5.2</c:v>
                </c:pt>
                <c:pt idx="23">
                  <c:v>4</c:v>
                </c:pt>
                <c:pt idx="24">
                  <c:v>4.75</c:v>
                </c:pt>
                <c:pt idx="25">
                  <c:v>4.75</c:v>
                </c:pt>
                <c:pt idx="26">
                  <c:v>6.5</c:v>
                </c:pt>
                <c:pt idx="27">
                  <c:v>5</c:v>
                </c:pt>
                <c:pt idx="28">
                  <c:v>6.333333333333333</c:v>
                </c:pt>
                <c:pt idx="29">
                  <c:v>6</c:v>
                </c:pt>
                <c:pt idx="30">
                  <c:v>8.1666666666666661</c:v>
                </c:pt>
              </c:numCache>
            </c:numRef>
          </c:val>
          <c:extLst>
            <c:ext xmlns:c16="http://schemas.microsoft.com/office/drawing/2014/chart" uri="{C3380CC4-5D6E-409C-BE32-E72D297353CC}">
              <c16:uniqueId val="{00000003-DE0B-4CBD-80CC-26271491B087}"/>
            </c:ext>
          </c:extLst>
        </c:ser>
        <c:dLbls>
          <c:showLegendKey val="0"/>
          <c:showVal val="1"/>
          <c:showCatName val="0"/>
          <c:showSerName val="0"/>
          <c:showPercent val="0"/>
          <c:showBubbleSize val="0"/>
        </c:dLbls>
        <c:axId val="1009084944"/>
        <c:axId val="1009097424"/>
      </c:areaChart>
      <c:catAx>
        <c:axId val="1009084944"/>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270000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9097424"/>
        <c:crosses val="autoZero"/>
        <c:auto val="1"/>
        <c:lblAlgn val="ctr"/>
        <c:lblOffset val="100"/>
        <c:noMultiLvlLbl val="0"/>
      </c:catAx>
      <c:valAx>
        <c:axId val="1009097424"/>
        <c:scaling>
          <c:orientation val="minMax"/>
        </c:scaling>
        <c:delete val="1"/>
        <c:axPos val="l"/>
        <c:numFmt formatCode="0.00" sourceLinked="1"/>
        <c:majorTickMark val="none"/>
        <c:minorTickMark val="none"/>
        <c:tickLblPos val="nextTo"/>
        <c:crossAx val="100908494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3">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6">
  <a:schemeClr val="accent3"/>
</cs:colorStyle>
</file>

<file path=xl/charts/colors9.xml><?xml version="1.0" encoding="utf-8"?>
<cs:colorStyle xmlns:cs="http://schemas.microsoft.com/office/drawing/2012/chartStyle" xmlns:a="http://schemas.openxmlformats.org/drawingml/2006/main" meth="withinLinearReversed" id="23">
  <a:schemeClr val="accent3"/>
</cs:colorStyle>
</file>

<file path=xl/charts/colors10.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of Patient'!A1"/><Relationship Id="rId13" Type="http://schemas.openxmlformats.org/officeDocument/2006/relationships/chart" Target="../charts/chart4.xml"/><Relationship Id="rId18" Type="http://schemas.openxmlformats.org/officeDocument/2006/relationships/chart" Target="../charts/chart6.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 Trends'!A1"/><Relationship Id="rId17" Type="http://schemas.openxmlformats.org/officeDocument/2006/relationships/chart" Target="../charts/chart5.xml"/><Relationship Id="rId2" Type="http://schemas.openxmlformats.org/officeDocument/2006/relationships/image" Target="../media/image2.png"/><Relationship Id="rId16" Type="http://schemas.openxmlformats.org/officeDocument/2006/relationships/image" Target="../media/image10.emf"/><Relationship Id="rId20"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image" Target="../media/image9.emf"/><Relationship Id="rId10" Type="http://schemas.openxmlformats.org/officeDocument/2006/relationships/hyperlink" Target="#'Average Wait Time'!A1"/><Relationship Id="rId19" Type="http://schemas.openxmlformats.org/officeDocument/2006/relationships/chart" Target="../charts/chart7.xml"/><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5.svg"/></Relationships>
</file>

<file path=xl/drawings/_rels/drawing4.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5.svg"/></Relationships>
</file>

<file path=xl/drawings/_rels/drawing5.xml.rels><?xml version="1.0" encoding="UTF-8" standalone="yes"?>
<Relationships xmlns="http://schemas.openxmlformats.org/package/2006/relationships"><Relationship Id="rId3" Type="http://schemas.openxmlformats.org/officeDocument/2006/relationships/image" Target="../media/image15.svg"/><Relationship Id="rId2" Type="http://schemas.openxmlformats.org/officeDocument/2006/relationships/image" Target="../media/image14.png"/><Relationship Id="rId1" Type="http://schemas.openxmlformats.org/officeDocument/2006/relationships/hyperlink" Target="#Dashboard!A1"/><Relationship Id="rId4" Type="http://schemas.openxmlformats.org/officeDocument/2006/relationships/chart" Target="../charts/chart11.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13.emf"/><Relationship Id="rId2" Type="http://schemas.openxmlformats.org/officeDocument/2006/relationships/image" Target="../media/image12.emf"/><Relationship Id="rId1"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xdr:twoCellAnchor>
    <xdr:from>
      <xdr:col>3</xdr:col>
      <xdr:colOff>38100</xdr:colOff>
      <xdr:row>51</xdr:row>
      <xdr:rowOff>0</xdr:rowOff>
    </xdr:from>
    <xdr:to>
      <xdr:col>4</xdr:col>
      <xdr:colOff>6350</xdr:colOff>
      <xdr:row>52</xdr:row>
      <xdr:rowOff>177800</xdr:rowOff>
    </xdr:to>
    <xdr:graphicFrame macro="">
      <xdr:nvGraphicFramePr>
        <xdr:cNvPr id="7" name="Chart 6">
          <a:extLst>
            <a:ext uri="{FF2B5EF4-FFF2-40B4-BE49-F238E27FC236}">
              <a16:creationId xmlns:a16="http://schemas.microsoft.com/office/drawing/2014/main" id="{D0AC7064-4639-6D3C-841B-7F9C88B040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182879</xdr:colOff>
      <xdr:row>0</xdr:row>
      <xdr:rowOff>99753</xdr:rowOff>
    </xdr:from>
    <xdr:to>
      <xdr:col>8</xdr:col>
      <xdr:colOff>152400</xdr:colOff>
      <xdr:row>4</xdr:row>
      <xdr:rowOff>175260</xdr:rowOff>
    </xdr:to>
    <xdr:sp macro="" textlink="">
      <xdr:nvSpPr>
        <xdr:cNvPr id="2" name="Rectangle: Rounded Corners 1">
          <a:extLst>
            <a:ext uri="{FF2B5EF4-FFF2-40B4-BE49-F238E27FC236}">
              <a16:creationId xmlns:a16="http://schemas.microsoft.com/office/drawing/2014/main" id="{6B2DA39C-4ECA-1428-D120-F03129083361}"/>
            </a:ext>
          </a:extLst>
        </xdr:cNvPr>
        <xdr:cNvSpPr/>
      </xdr:nvSpPr>
      <xdr:spPr>
        <a:xfrm>
          <a:off x="182879" y="99753"/>
          <a:ext cx="4846321" cy="80702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228600</xdr:colOff>
      <xdr:row>0</xdr:row>
      <xdr:rowOff>114300</xdr:rowOff>
    </xdr:from>
    <xdr:to>
      <xdr:col>11</xdr:col>
      <xdr:colOff>365761</xdr:colOff>
      <xdr:row>5</xdr:row>
      <xdr:rowOff>13856</xdr:rowOff>
    </xdr:to>
    <xdr:sp macro="" textlink="">
      <xdr:nvSpPr>
        <xdr:cNvPr id="3" name="Rectangle: Rounded Corners 2">
          <a:extLst>
            <a:ext uri="{FF2B5EF4-FFF2-40B4-BE49-F238E27FC236}">
              <a16:creationId xmlns:a16="http://schemas.microsoft.com/office/drawing/2014/main" id="{5BF53DD7-5A8F-F013-D87D-987808B83EFA}"/>
            </a:ext>
          </a:extLst>
        </xdr:cNvPr>
        <xdr:cNvSpPr/>
      </xdr:nvSpPr>
      <xdr:spPr>
        <a:xfrm>
          <a:off x="5105400" y="114300"/>
          <a:ext cx="1965961" cy="813956"/>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475902</xdr:colOff>
      <xdr:row>0</xdr:row>
      <xdr:rowOff>99060</xdr:rowOff>
    </xdr:from>
    <xdr:to>
      <xdr:col>16</xdr:col>
      <xdr:colOff>335279</xdr:colOff>
      <xdr:row>12</xdr:row>
      <xdr:rowOff>15240</xdr:rowOff>
    </xdr:to>
    <xdr:sp macro="" textlink="">
      <xdr:nvSpPr>
        <xdr:cNvPr id="4" name="Rectangle: Rounded Corners 3">
          <a:extLst>
            <a:ext uri="{FF2B5EF4-FFF2-40B4-BE49-F238E27FC236}">
              <a16:creationId xmlns:a16="http://schemas.microsoft.com/office/drawing/2014/main" id="{AB238433-95A2-80AA-A4BD-9A0242DDBBDC}"/>
            </a:ext>
          </a:extLst>
        </xdr:cNvPr>
        <xdr:cNvSpPr/>
      </xdr:nvSpPr>
      <xdr:spPr>
        <a:xfrm>
          <a:off x="7181502" y="99060"/>
          <a:ext cx="2907377" cy="2110740"/>
        </a:xfrm>
        <a:prstGeom prst="roundRect">
          <a:avLst>
            <a:gd name="adj" fmla="val 1844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198120</xdr:colOff>
      <xdr:row>5</xdr:row>
      <xdr:rowOff>22860</xdr:rowOff>
    </xdr:from>
    <xdr:to>
      <xdr:col>2</xdr:col>
      <xdr:colOff>6927</xdr:colOff>
      <xdr:row>25</xdr:row>
      <xdr:rowOff>22860</xdr:rowOff>
    </xdr:to>
    <xdr:sp macro="" textlink="">
      <xdr:nvSpPr>
        <xdr:cNvPr id="8" name="Rectangle: Rounded Corners 7">
          <a:extLst>
            <a:ext uri="{FF2B5EF4-FFF2-40B4-BE49-F238E27FC236}">
              <a16:creationId xmlns:a16="http://schemas.microsoft.com/office/drawing/2014/main" id="{BCE5FB77-220D-B1AC-3E80-7E52C5E3BDC7}"/>
            </a:ext>
          </a:extLst>
        </xdr:cNvPr>
        <xdr:cNvSpPr/>
      </xdr:nvSpPr>
      <xdr:spPr>
        <a:xfrm>
          <a:off x="198120" y="937260"/>
          <a:ext cx="1028007" cy="3657600"/>
        </a:xfrm>
        <a:prstGeom prst="roundRect">
          <a:avLst>
            <a:gd name="adj" fmla="val 22704"/>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62344</xdr:colOff>
      <xdr:row>5</xdr:row>
      <xdr:rowOff>32559</xdr:rowOff>
    </xdr:from>
    <xdr:to>
      <xdr:col>5</xdr:col>
      <xdr:colOff>48491</xdr:colOff>
      <xdr:row>11</xdr:row>
      <xdr:rowOff>152400</xdr:rowOff>
    </xdr:to>
    <xdr:sp macro="" textlink="">
      <xdr:nvSpPr>
        <xdr:cNvPr id="9" name="Rectangle: Rounded Corners 8">
          <a:extLst>
            <a:ext uri="{FF2B5EF4-FFF2-40B4-BE49-F238E27FC236}">
              <a16:creationId xmlns:a16="http://schemas.microsoft.com/office/drawing/2014/main" id="{55240E9E-B741-D264-CA18-9F4650FAA229}"/>
            </a:ext>
          </a:extLst>
        </xdr:cNvPr>
        <xdr:cNvSpPr/>
      </xdr:nvSpPr>
      <xdr:spPr>
        <a:xfrm>
          <a:off x="1281544" y="946959"/>
          <a:ext cx="1814947" cy="121712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104601</xdr:colOff>
      <xdr:row>5</xdr:row>
      <xdr:rowOff>15933</xdr:rowOff>
    </xdr:from>
    <xdr:to>
      <xdr:col>8</xdr:col>
      <xdr:colOff>180802</xdr:colOff>
      <xdr:row>11</xdr:row>
      <xdr:rowOff>129540</xdr:rowOff>
    </xdr:to>
    <xdr:sp macro="" textlink="">
      <xdr:nvSpPr>
        <xdr:cNvPr id="10" name="Rectangle: Rounded Corners 9">
          <a:extLst>
            <a:ext uri="{FF2B5EF4-FFF2-40B4-BE49-F238E27FC236}">
              <a16:creationId xmlns:a16="http://schemas.microsoft.com/office/drawing/2014/main" id="{121CB4B1-73E3-0792-C999-5531ECA82F13}"/>
            </a:ext>
          </a:extLst>
        </xdr:cNvPr>
        <xdr:cNvSpPr/>
      </xdr:nvSpPr>
      <xdr:spPr>
        <a:xfrm>
          <a:off x="3152601" y="930333"/>
          <a:ext cx="1905001" cy="121088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236220</xdr:colOff>
      <xdr:row>5</xdr:row>
      <xdr:rowOff>38794</xdr:rowOff>
    </xdr:from>
    <xdr:to>
      <xdr:col>11</xdr:col>
      <xdr:colOff>360220</xdr:colOff>
      <xdr:row>11</xdr:row>
      <xdr:rowOff>137160</xdr:rowOff>
    </xdr:to>
    <xdr:sp macro="" textlink="">
      <xdr:nvSpPr>
        <xdr:cNvPr id="11" name="Rectangle: Rounded Corners 10">
          <a:extLst>
            <a:ext uri="{FF2B5EF4-FFF2-40B4-BE49-F238E27FC236}">
              <a16:creationId xmlns:a16="http://schemas.microsoft.com/office/drawing/2014/main" id="{05168A87-5905-C761-BEE4-835E57157C7F}"/>
            </a:ext>
          </a:extLst>
        </xdr:cNvPr>
        <xdr:cNvSpPr/>
      </xdr:nvSpPr>
      <xdr:spPr>
        <a:xfrm>
          <a:off x="5113020" y="953194"/>
          <a:ext cx="1952800" cy="1195646"/>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76200</xdr:colOff>
      <xdr:row>12</xdr:row>
      <xdr:rowOff>1</xdr:rowOff>
    </xdr:from>
    <xdr:to>
      <xdr:col>11</xdr:col>
      <xdr:colOff>365760</xdr:colOff>
      <xdr:row>16</xdr:row>
      <xdr:rowOff>152401</xdr:rowOff>
    </xdr:to>
    <xdr:sp macro="" textlink="">
      <xdr:nvSpPr>
        <xdr:cNvPr id="12" name="Rectangle: Rounded Corners 11">
          <a:extLst>
            <a:ext uri="{FF2B5EF4-FFF2-40B4-BE49-F238E27FC236}">
              <a16:creationId xmlns:a16="http://schemas.microsoft.com/office/drawing/2014/main" id="{8AFC7352-658E-BCC4-6943-31AD225CFE34}"/>
            </a:ext>
          </a:extLst>
        </xdr:cNvPr>
        <xdr:cNvSpPr/>
      </xdr:nvSpPr>
      <xdr:spPr>
        <a:xfrm>
          <a:off x="1295400" y="2194561"/>
          <a:ext cx="5775960" cy="8839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ḥḥḥḥḥ</a:t>
          </a:r>
        </a:p>
      </xdr:txBody>
    </xdr:sp>
    <xdr:clientData/>
  </xdr:twoCellAnchor>
  <xdr:twoCellAnchor editAs="absolute">
    <xdr:from>
      <xdr:col>2</xdr:col>
      <xdr:colOff>54724</xdr:colOff>
      <xdr:row>16</xdr:row>
      <xdr:rowOff>182879</xdr:rowOff>
    </xdr:from>
    <xdr:to>
      <xdr:col>11</xdr:col>
      <xdr:colOff>403860</xdr:colOff>
      <xdr:row>25</xdr:row>
      <xdr:rowOff>38100</xdr:rowOff>
    </xdr:to>
    <xdr:sp macro="" textlink="">
      <xdr:nvSpPr>
        <xdr:cNvPr id="13" name="Rectangle: Rounded Corners 12">
          <a:extLst>
            <a:ext uri="{FF2B5EF4-FFF2-40B4-BE49-F238E27FC236}">
              <a16:creationId xmlns:a16="http://schemas.microsoft.com/office/drawing/2014/main" id="{1B17C989-C506-9E3C-92B5-47460F9282FC}"/>
            </a:ext>
          </a:extLst>
        </xdr:cNvPr>
        <xdr:cNvSpPr/>
      </xdr:nvSpPr>
      <xdr:spPr>
        <a:xfrm>
          <a:off x="1273924" y="3108959"/>
          <a:ext cx="5835536" cy="150114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11</xdr:col>
      <xdr:colOff>480060</xdr:colOff>
      <xdr:row>12</xdr:row>
      <xdr:rowOff>45720</xdr:rowOff>
    </xdr:from>
    <xdr:to>
      <xdr:col>21</xdr:col>
      <xdr:colOff>312420</xdr:colOff>
      <xdr:row>25</xdr:row>
      <xdr:rowOff>53340</xdr:rowOff>
    </xdr:to>
    <xdr:sp macro="" textlink="">
      <xdr:nvSpPr>
        <xdr:cNvPr id="14" name="Rectangle: Rounded Corners 13">
          <a:extLst>
            <a:ext uri="{FF2B5EF4-FFF2-40B4-BE49-F238E27FC236}">
              <a16:creationId xmlns:a16="http://schemas.microsoft.com/office/drawing/2014/main" id="{623686A7-4EFC-0525-94A7-200B0CDEE3BC}"/>
            </a:ext>
          </a:extLst>
        </xdr:cNvPr>
        <xdr:cNvSpPr/>
      </xdr:nvSpPr>
      <xdr:spPr>
        <a:xfrm>
          <a:off x="7185660" y="2240280"/>
          <a:ext cx="5928360" cy="23850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16</xdr:col>
      <xdr:colOff>407322</xdr:colOff>
      <xdr:row>0</xdr:row>
      <xdr:rowOff>99060</xdr:rowOff>
    </xdr:from>
    <xdr:to>
      <xdr:col>21</xdr:col>
      <xdr:colOff>312420</xdr:colOff>
      <xdr:row>12</xdr:row>
      <xdr:rowOff>7620</xdr:rowOff>
    </xdr:to>
    <xdr:sp macro="" textlink="">
      <xdr:nvSpPr>
        <xdr:cNvPr id="15" name="Rectangle: Rounded Corners 14">
          <a:extLst>
            <a:ext uri="{FF2B5EF4-FFF2-40B4-BE49-F238E27FC236}">
              <a16:creationId xmlns:a16="http://schemas.microsoft.com/office/drawing/2014/main" id="{A36DC790-BE72-167B-C67C-981D1A20E68D}"/>
            </a:ext>
          </a:extLst>
        </xdr:cNvPr>
        <xdr:cNvSpPr/>
      </xdr:nvSpPr>
      <xdr:spPr>
        <a:xfrm>
          <a:off x="10160922" y="99060"/>
          <a:ext cx="2953098" cy="2103120"/>
        </a:xfrm>
        <a:prstGeom prst="roundRect">
          <a:avLst/>
        </a:prstGeom>
        <a:solidFill>
          <a:schemeClr val="bg1"/>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99060</xdr:colOff>
      <xdr:row>1</xdr:row>
      <xdr:rowOff>15240</xdr:rowOff>
    </xdr:from>
    <xdr:to>
      <xdr:col>7</xdr:col>
      <xdr:colOff>518160</xdr:colOff>
      <xdr:row>3</xdr:row>
      <xdr:rowOff>0</xdr:rowOff>
    </xdr:to>
    <xdr:sp macro="" textlink="">
      <xdr:nvSpPr>
        <xdr:cNvPr id="27" name="TextBox 26">
          <a:extLst>
            <a:ext uri="{FF2B5EF4-FFF2-40B4-BE49-F238E27FC236}">
              <a16:creationId xmlns:a16="http://schemas.microsoft.com/office/drawing/2014/main" id="{70B12927-5859-7877-93A8-985C8B761168}"/>
            </a:ext>
          </a:extLst>
        </xdr:cNvPr>
        <xdr:cNvSpPr txBox="1"/>
      </xdr:nvSpPr>
      <xdr:spPr>
        <a:xfrm>
          <a:off x="1927860" y="198120"/>
          <a:ext cx="285750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b="0">
              <a:latin typeface="Aptos Narrow" panose="020B0004020202020204" pitchFamily="34" charset="0"/>
            </a:rPr>
            <a:t>Hospital Emergency Room</a:t>
          </a:r>
          <a:r>
            <a:rPr lang="en-IN" sz="1400" b="0" baseline="0">
              <a:latin typeface="Aptos Narrow" panose="020B0004020202020204" pitchFamily="34" charset="0"/>
            </a:rPr>
            <a:t> </a:t>
          </a:r>
          <a:r>
            <a:rPr lang="en-IN" sz="1400" b="0">
              <a:latin typeface="Aptos Narrow" panose="020B0004020202020204" pitchFamily="34" charset="0"/>
            </a:rPr>
            <a:t>Dashboard</a:t>
          </a:r>
        </a:p>
      </xdr:txBody>
    </xdr:sp>
    <xdr:clientData/>
  </xdr:twoCellAnchor>
  <xdr:twoCellAnchor editAs="oneCell">
    <xdr:from>
      <xdr:col>0</xdr:col>
      <xdr:colOff>0</xdr:colOff>
      <xdr:row>0</xdr:row>
      <xdr:rowOff>30480</xdr:rowOff>
    </xdr:from>
    <xdr:to>
      <xdr:col>2</xdr:col>
      <xdr:colOff>121920</xdr:colOff>
      <xdr:row>4</xdr:row>
      <xdr:rowOff>146509</xdr:rowOff>
    </xdr:to>
    <xdr:pic>
      <xdr:nvPicPr>
        <xdr:cNvPr id="29" name="Picture 28">
          <a:extLst>
            <a:ext uri="{FF2B5EF4-FFF2-40B4-BE49-F238E27FC236}">
              <a16:creationId xmlns:a16="http://schemas.microsoft.com/office/drawing/2014/main" id="{9ADD6E54-8BF7-B7D3-56DA-CC79630D63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30480"/>
          <a:ext cx="1341120" cy="847549"/>
        </a:xfrm>
        <a:prstGeom prst="rect">
          <a:avLst/>
        </a:prstGeom>
      </xdr:spPr>
    </xdr:pic>
    <xdr:clientData/>
  </xdr:twoCellAnchor>
  <xdr:twoCellAnchor editAs="absolute">
    <xdr:from>
      <xdr:col>3</xdr:col>
      <xdr:colOff>76200</xdr:colOff>
      <xdr:row>2</xdr:row>
      <xdr:rowOff>45720</xdr:rowOff>
    </xdr:from>
    <xdr:to>
      <xdr:col>7</xdr:col>
      <xdr:colOff>495300</xdr:colOff>
      <xdr:row>4</xdr:row>
      <xdr:rowOff>30480</xdr:rowOff>
    </xdr:to>
    <xdr:sp macro="" textlink="">
      <xdr:nvSpPr>
        <xdr:cNvPr id="30" name="TextBox 29">
          <a:extLst>
            <a:ext uri="{FF2B5EF4-FFF2-40B4-BE49-F238E27FC236}">
              <a16:creationId xmlns:a16="http://schemas.microsoft.com/office/drawing/2014/main" id="{C0FD7BE5-816E-3EA4-71B4-4803CE136E2B}"/>
            </a:ext>
          </a:extLst>
        </xdr:cNvPr>
        <xdr:cNvSpPr txBox="1"/>
      </xdr:nvSpPr>
      <xdr:spPr>
        <a:xfrm>
          <a:off x="1905000" y="411480"/>
          <a:ext cx="285750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0">
              <a:latin typeface="Aptos Narrow" panose="020B0004020202020204" pitchFamily="34" charset="0"/>
            </a:rPr>
            <a:t>Monthly Report</a:t>
          </a:r>
        </a:p>
      </xdr:txBody>
    </xdr:sp>
    <xdr:clientData/>
  </xdr:twoCellAnchor>
  <xdr:twoCellAnchor editAs="absolute">
    <xdr:from>
      <xdr:col>2</xdr:col>
      <xdr:colOff>76200</xdr:colOff>
      <xdr:row>8</xdr:row>
      <xdr:rowOff>22860</xdr:rowOff>
    </xdr:from>
    <xdr:to>
      <xdr:col>5</xdr:col>
      <xdr:colOff>76200</xdr:colOff>
      <xdr:row>10</xdr:row>
      <xdr:rowOff>7620</xdr:rowOff>
    </xdr:to>
    <xdr:sp macro="" textlink="">
      <xdr:nvSpPr>
        <xdr:cNvPr id="31" name="TextBox 30">
          <a:extLst>
            <a:ext uri="{FF2B5EF4-FFF2-40B4-BE49-F238E27FC236}">
              <a16:creationId xmlns:a16="http://schemas.microsoft.com/office/drawing/2014/main" id="{8BE75B2F-894A-3857-8C19-2E043DCA41D0}"/>
            </a:ext>
          </a:extLst>
        </xdr:cNvPr>
        <xdr:cNvSpPr txBox="1"/>
      </xdr:nvSpPr>
      <xdr:spPr>
        <a:xfrm>
          <a:off x="1295400" y="1485900"/>
          <a:ext cx="182880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b="0">
              <a:latin typeface="Aptos Narrow" panose="020B0004020202020204" pitchFamily="34" charset="0"/>
            </a:rPr>
            <a:t>No.of Patient</a:t>
          </a:r>
        </a:p>
        <a:p>
          <a:pPr algn="ctr"/>
          <a:endParaRPr lang="en-IN" sz="900" b="0">
            <a:latin typeface="Aptos Narrow" panose="020B0004020202020204" pitchFamily="34" charset="0"/>
          </a:endParaRPr>
        </a:p>
      </xdr:txBody>
    </xdr:sp>
    <xdr:clientData/>
  </xdr:twoCellAnchor>
  <xdr:twoCellAnchor editAs="absolute">
    <xdr:from>
      <xdr:col>2</xdr:col>
      <xdr:colOff>91440</xdr:colOff>
      <xdr:row>7</xdr:row>
      <xdr:rowOff>60960</xdr:rowOff>
    </xdr:from>
    <xdr:to>
      <xdr:col>5</xdr:col>
      <xdr:colOff>60960</xdr:colOff>
      <xdr:row>8</xdr:row>
      <xdr:rowOff>91440</xdr:rowOff>
    </xdr:to>
    <xdr:sp macro="" textlink="'Pivot Report'!A5">
      <xdr:nvSpPr>
        <xdr:cNvPr id="35" name="TextBox 34">
          <a:extLst>
            <a:ext uri="{FF2B5EF4-FFF2-40B4-BE49-F238E27FC236}">
              <a16:creationId xmlns:a16="http://schemas.microsoft.com/office/drawing/2014/main" id="{3E2968FF-AEA8-6DBD-5672-4888A224C319}"/>
            </a:ext>
          </a:extLst>
        </xdr:cNvPr>
        <xdr:cNvSpPr txBox="1"/>
      </xdr:nvSpPr>
      <xdr:spPr>
        <a:xfrm>
          <a:off x="1310640" y="1341120"/>
          <a:ext cx="179832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5579462A-A705-4601-A711-6C18BF8F3917}" type="TxLink">
            <a:rPr lang="en-US" sz="1100" b="0" i="0" u="none" strike="noStrike">
              <a:solidFill>
                <a:srgbClr val="000000"/>
              </a:solidFill>
              <a:latin typeface="Calibri"/>
              <a:ea typeface="Calibri"/>
              <a:cs typeface="Calibri"/>
            </a:rPr>
            <a:pPr algn="ctr"/>
            <a:t>464</a:t>
          </a:fld>
          <a:endParaRPr lang="en-IN" sz="1200" b="0">
            <a:latin typeface="Aptos Narrow" panose="020B0004020202020204" pitchFamily="34" charset="0"/>
          </a:endParaRPr>
        </a:p>
      </xdr:txBody>
    </xdr:sp>
    <xdr:clientData/>
  </xdr:twoCellAnchor>
  <xdr:twoCellAnchor editAs="absolute">
    <xdr:from>
      <xdr:col>5</xdr:col>
      <xdr:colOff>205740</xdr:colOff>
      <xdr:row>7</xdr:row>
      <xdr:rowOff>167640</xdr:rowOff>
    </xdr:from>
    <xdr:to>
      <xdr:col>8</xdr:col>
      <xdr:colOff>205740</xdr:colOff>
      <xdr:row>9</xdr:row>
      <xdr:rowOff>152400</xdr:rowOff>
    </xdr:to>
    <xdr:sp macro="" textlink="">
      <xdr:nvSpPr>
        <xdr:cNvPr id="36" name="TextBox 35">
          <a:extLst>
            <a:ext uri="{FF2B5EF4-FFF2-40B4-BE49-F238E27FC236}">
              <a16:creationId xmlns:a16="http://schemas.microsoft.com/office/drawing/2014/main" id="{B03DCE9B-1215-2DCF-0EBF-284DD64F773B}"/>
            </a:ext>
          </a:extLst>
        </xdr:cNvPr>
        <xdr:cNvSpPr txBox="1"/>
      </xdr:nvSpPr>
      <xdr:spPr>
        <a:xfrm>
          <a:off x="3253740" y="1447800"/>
          <a:ext cx="182880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b="0">
              <a:latin typeface="Aptos Narrow" panose="020B0004020202020204" pitchFamily="34" charset="0"/>
            </a:rPr>
            <a:t>Average</a:t>
          </a:r>
          <a:r>
            <a:rPr lang="en-IN" sz="1000" b="0" baseline="0">
              <a:latin typeface="Aptos Narrow" panose="020B0004020202020204" pitchFamily="34" charset="0"/>
            </a:rPr>
            <a:t> Wait Time</a:t>
          </a:r>
          <a:endParaRPr lang="en-IN" sz="1000" b="0">
            <a:latin typeface="Aptos Narrow" panose="020B0004020202020204" pitchFamily="34" charset="0"/>
          </a:endParaRPr>
        </a:p>
        <a:p>
          <a:pPr algn="ctr"/>
          <a:endParaRPr lang="en-IN" sz="900" b="0">
            <a:latin typeface="Aptos Narrow" panose="020B0004020202020204" pitchFamily="34" charset="0"/>
          </a:endParaRPr>
        </a:p>
      </xdr:txBody>
    </xdr:sp>
    <xdr:clientData/>
  </xdr:twoCellAnchor>
  <xdr:twoCellAnchor editAs="absolute">
    <xdr:from>
      <xdr:col>5</xdr:col>
      <xdr:colOff>175260</xdr:colOff>
      <xdr:row>7</xdr:row>
      <xdr:rowOff>30480</xdr:rowOff>
    </xdr:from>
    <xdr:to>
      <xdr:col>8</xdr:col>
      <xdr:colOff>144780</xdr:colOff>
      <xdr:row>8</xdr:row>
      <xdr:rowOff>60960</xdr:rowOff>
    </xdr:to>
    <xdr:sp macro="" textlink="'Pivot Report'!A9">
      <xdr:nvSpPr>
        <xdr:cNvPr id="37" name="TextBox 36">
          <a:extLst>
            <a:ext uri="{FF2B5EF4-FFF2-40B4-BE49-F238E27FC236}">
              <a16:creationId xmlns:a16="http://schemas.microsoft.com/office/drawing/2014/main" id="{77B1F48B-E248-473D-B05A-FD753FD29DDC}"/>
            </a:ext>
          </a:extLst>
        </xdr:cNvPr>
        <xdr:cNvSpPr txBox="1"/>
      </xdr:nvSpPr>
      <xdr:spPr>
        <a:xfrm>
          <a:off x="3223260" y="1310640"/>
          <a:ext cx="179832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692C0D6A-13BA-475A-AD95-2CFB5B7FC7E9}" type="TxLink">
            <a:rPr lang="en-US" sz="1100" b="0" i="0" u="none" strike="noStrike">
              <a:solidFill>
                <a:srgbClr val="000000"/>
              </a:solidFill>
              <a:latin typeface="Calibri"/>
              <a:ea typeface="Calibri"/>
              <a:cs typeface="Calibri"/>
            </a:rPr>
            <a:pPr algn="ctr"/>
            <a:t>34.72</a:t>
          </a:fld>
          <a:endParaRPr lang="en-IN" sz="1200" b="0">
            <a:latin typeface="Aptos Narrow" panose="020B0004020202020204" pitchFamily="34" charset="0"/>
          </a:endParaRPr>
        </a:p>
      </xdr:txBody>
    </xdr:sp>
    <xdr:clientData/>
  </xdr:twoCellAnchor>
  <xdr:twoCellAnchor editAs="absolute">
    <xdr:from>
      <xdr:col>8</xdr:col>
      <xdr:colOff>312420</xdr:colOff>
      <xdr:row>7</xdr:row>
      <xdr:rowOff>137160</xdr:rowOff>
    </xdr:from>
    <xdr:to>
      <xdr:col>11</xdr:col>
      <xdr:colOff>312420</xdr:colOff>
      <xdr:row>9</xdr:row>
      <xdr:rowOff>121920</xdr:rowOff>
    </xdr:to>
    <xdr:sp macro="" textlink="">
      <xdr:nvSpPr>
        <xdr:cNvPr id="38" name="TextBox 37">
          <a:extLst>
            <a:ext uri="{FF2B5EF4-FFF2-40B4-BE49-F238E27FC236}">
              <a16:creationId xmlns:a16="http://schemas.microsoft.com/office/drawing/2014/main" id="{4C303924-F510-F29F-0664-795B22DF4188}"/>
            </a:ext>
          </a:extLst>
        </xdr:cNvPr>
        <xdr:cNvSpPr txBox="1"/>
      </xdr:nvSpPr>
      <xdr:spPr>
        <a:xfrm>
          <a:off x="5189220" y="1417320"/>
          <a:ext cx="182880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b="0">
              <a:latin typeface="Aptos Narrow" panose="020B0004020202020204" pitchFamily="34" charset="0"/>
            </a:rPr>
            <a:t>Patient</a:t>
          </a:r>
          <a:r>
            <a:rPr lang="en-IN" sz="1000" b="0" baseline="0">
              <a:latin typeface="Aptos Narrow" panose="020B0004020202020204" pitchFamily="34" charset="0"/>
            </a:rPr>
            <a:t> Satisfaction Score</a:t>
          </a:r>
          <a:endParaRPr lang="en-IN" sz="1000" b="0">
            <a:latin typeface="Aptos Narrow" panose="020B0004020202020204" pitchFamily="34" charset="0"/>
          </a:endParaRPr>
        </a:p>
        <a:p>
          <a:pPr algn="ctr"/>
          <a:endParaRPr lang="en-IN" sz="900" b="0">
            <a:latin typeface="Aptos Narrow" panose="020B0004020202020204" pitchFamily="34" charset="0"/>
          </a:endParaRPr>
        </a:p>
      </xdr:txBody>
    </xdr:sp>
    <xdr:clientData/>
  </xdr:twoCellAnchor>
  <xdr:twoCellAnchor editAs="absolute">
    <xdr:from>
      <xdr:col>8</xdr:col>
      <xdr:colOff>251460</xdr:colOff>
      <xdr:row>7</xdr:row>
      <xdr:rowOff>7620</xdr:rowOff>
    </xdr:from>
    <xdr:to>
      <xdr:col>11</xdr:col>
      <xdr:colOff>220980</xdr:colOff>
      <xdr:row>8</xdr:row>
      <xdr:rowOff>38100</xdr:rowOff>
    </xdr:to>
    <xdr:sp macro="" textlink="'Pivot Report'!A12">
      <xdr:nvSpPr>
        <xdr:cNvPr id="39" name="TextBox 38">
          <a:extLst>
            <a:ext uri="{FF2B5EF4-FFF2-40B4-BE49-F238E27FC236}">
              <a16:creationId xmlns:a16="http://schemas.microsoft.com/office/drawing/2014/main" id="{85DB6761-B7CF-ABF9-94AB-BBB4B95BD0F0}"/>
            </a:ext>
          </a:extLst>
        </xdr:cNvPr>
        <xdr:cNvSpPr txBox="1"/>
      </xdr:nvSpPr>
      <xdr:spPr>
        <a:xfrm>
          <a:off x="5128260" y="1287780"/>
          <a:ext cx="179832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3542845F-20C3-412A-AD25-20876AC31F69}" type="TxLink">
            <a:rPr lang="en-US" sz="1100" b="0" i="0" u="none" strike="noStrike">
              <a:solidFill>
                <a:srgbClr val="000000"/>
              </a:solidFill>
              <a:latin typeface="Calibri"/>
              <a:ea typeface="Calibri"/>
              <a:cs typeface="Calibri"/>
            </a:rPr>
            <a:pPr algn="ctr"/>
            <a:t>4.99</a:t>
          </a:fld>
          <a:endParaRPr lang="en-IN" sz="1200" b="0">
            <a:latin typeface="Aptos Narrow" panose="020B0004020202020204" pitchFamily="34" charset="0"/>
          </a:endParaRPr>
        </a:p>
      </xdr:txBody>
    </xdr:sp>
    <xdr:clientData/>
  </xdr:twoCellAnchor>
  <xdr:twoCellAnchor editAs="oneCell">
    <xdr:from>
      <xdr:col>4</xdr:col>
      <xdr:colOff>190500</xdr:colOff>
      <xdr:row>5</xdr:row>
      <xdr:rowOff>45720</xdr:rowOff>
    </xdr:from>
    <xdr:to>
      <xdr:col>5</xdr:col>
      <xdr:colOff>7620</xdr:colOff>
      <xdr:row>7</xdr:row>
      <xdr:rowOff>99060</xdr:rowOff>
    </xdr:to>
    <xdr:pic>
      <xdr:nvPicPr>
        <xdr:cNvPr id="41" name="Graphic 40" descr="Male profile with solid fill">
          <a:extLst>
            <a:ext uri="{FF2B5EF4-FFF2-40B4-BE49-F238E27FC236}">
              <a16:creationId xmlns:a16="http://schemas.microsoft.com/office/drawing/2014/main" id="{95F6C86A-4760-9276-7926-DCBD8E27C0E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628900" y="960120"/>
          <a:ext cx="426720" cy="419100"/>
        </a:xfrm>
        <a:prstGeom prst="rect">
          <a:avLst/>
        </a:prstGeom>
      </xdr:spPr>
    </xdr:pic>
    <xdr:clientData/>
  </xdr:twoCellAnchor>
  <xdr:twoCellAnchor editAs="oneCell">
    <xdr:from>
      <xdr:col>10</xdr:col>
      <xdr:colOff>510540</xdr:colOff>
      <xdr:row>5</xdr:row>
      <xdr:rowOff>76200</xdr:rowOff>
    </xdr:from>
    <xdr:to>
      <xdr:col>11</xdr:col>
      <xdr:colOff>312420</xdr:colOff>
      <xdr:row>7</xdr:row>
      <xdr:rowOff>0</xdr:rowOff>
    </xdr:to>
    <xdr:pic>
      <xdr:nvPicPr>
        <xdr:cNvPr id="43" name="Graphic 42" descr="Customer review with solid fill">
          <a:extLst>
            <a:ext uri="{FF2B5EF4-FFF2-40B4-BE49-F238E27FC236}">
              <a16:creationId xmlns:a16="http://schemas.microsoft.com/office/drawing/2014/main" id="{D69DF27D-661F-CF6E-16C6-1F750D8BCDD1}"/>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6606540" y="990600"/>
          <a:ext cx="411480" cy="289560"/>
        </a:xfrm>
        <a:prstGeom prst="rect">
          <a:avLst/>
        </a:prstGeom>
      </xdr:spPr>
    </xdr:pic>
    <xdr:clientData/>
  </xdr:twoCellAnchor>
  <xdr:twoCellAnchor editAs="oneCell">
    <xdr:from>
      <xdr:col>7</xdr:col>
      <xdr:colOff>335280</xdr:colOff>
      <xdr:row>5</xdr:row>
      <xdr:rowOff>60960</xdr:rowOff>
    </xdr:from>
    <xdr:to>
      <xdr:col>8</xdr:col>
      <xdr:colOff>175260</xdr:colOff>
      <xdr:row>7</xdr:row>
      <xdr:rowOff>30480</xdr:rowOff>
    </xdr:to>
    <xdr:pic>
      <xdr:nvPicPr>
        <xdr:cNvPr id="45" name="Graphic 44" descr="Hourglass Finished with solid fill">
          <a:extLst>
            <a:ext uri="{FF2B5EF4-FFF2-40B4-BE49-F238E27FC236}">
              <a16:creationId xmlns:a16="http://schemas.microsoft.com/office/drawing/2014/main" id="{370CFB14-2E07-0F7A-2867-51E04B2B95C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602480" y="975360"/>
          <a:ext cx="449580" cy="335280"/>
        </a:xfrm>
        <a:prstGeom prst="rect">
          <a:avLst/>
        </a:prstGeom>
      </xdr:spPr>
    </xdr:pic>
    <xdr:clientData/>
  </xdr:twoCellAnchor>
  <xdr:twoCellAnchor editAs="oneCell">
    <xdr:from>
      <xdr:col>0</xdr:col>
      <xdr:colOff>304800</xdr:colOff>
      <xdr:row>5</xdr:row>
      <xdr:rowOff>137160</xdr:rowOff>
    </xdr:from>
    <xdr:to>
      <xdr:col>1</xdr:col>
      <xdr:colOff>516684</xdr:colOff>
      <xdr:row>24</xdr:row>
      <xdr:rowOff>68580</xdr:rowOff>
    </xdr:to>
    <mc:AlternateContent xmlns:mc="http://schemas.openxmlformats.org/markup-compatibility/2006" xmlns:a14="http://schemas.microsoft.com/office/drawing/2010/main">
      <mc:Choice Requires="a14">
        <xdr:graphicFrame macro="">
          <xdr:nvGraphicFramePr>
            <xdr:cNvPr id="46" name="Date (Month)">
              <a:extLst>
                <a:ext uri="{FF2B5EF4-FFF2-40B4-BE49-F238E27FC236}">
                  <a16:creationId xmlns:a16="http://schemas.microsoft.com/office/drawing/2014/main" id="{21C874FD-4784-4C41-B159-C7A228FB66C8}"/>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304800" y="1051560"/>
              <a:ext cx="821484" cy="3406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68580</xdr:colOff>
      <xdr:row>8</xdr:row>
      <xdr:rowOff>167640</xdr:rowOff>
    </xdr:from>
    <xdr:to>
      <xdr:col>5</xdr:col>
      <xdr:colOff>38100</xdr:colOff>
      <xdr:row>11</xdr:row>
      <xdr:rowOff>152401</xdr:rowOff>
    </xdr:to>
    <xdr:graphicFrame macro="">
      <xdr:nvGraphicFramePr>
        <xdr:cNvPr id="47" name="Chart 46">
          <a:hlinkClick xmlns:r="http://schemas.openxmlformats.org/officeDocument/2006/relationships" r:id="rId8"/>
          <a:extLst>
            <a:ext uri="{FF2B5EF4-FFF2-40B4-BE49-F238E27FC236}">
              <a16:creationId xmlns:a16="http://schemas.microsoft.com/office/drawing/2014/main" id="{ADFB06EE-DFA1-42AC-8854-702626E734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99060</xdr:colOff>
      <xdr:row>8</xdr:row>
      <xdr:rowOff>152400</xdr:rowOff>
    </xdr:from>
    <xdr:to>
      <xdr:col>8</xdr:col>
      <xdr:colOff>182880</xdr:colOff>
      <xdr:row>11</xdr:row>
      <xdr:rowOff>152400</xdr:rowOff>
    </xdr:to>
    <xdr:graphicFrame macro="">
      <xdr:nvGraphicFramePr>
        <xdr:cNvPr id="50" name="Chart 49">
          <a:hlinkClick xmlns:r="http://schemas.openxmlformats.org/officeDocument/2006/relationships" r:id="rId10"/>
          <a:extLst>
            <a:ext uri="{FF2B5EF4-FFF2-40B4-BE49-F238E27FC236}">
              <a16:creationId xmlns:a16="http://schemas.microsoft.com/office/drawing/2014/main" id="{73C8D923-A5CB-4E34-B09C-42A1B95D52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243840</xdr:colOff>
      <xdr:row>8</xdr:row>
      <xdr:rowOff>106680</xdr:rowOff>
    </xdr:from>
    <xdr:to>
      <xdr:col>11</xdr:col>
      <xdr:colOff>350520</xdr:colOff>
      <xdr:row>11</xdr:row>
      <xdr:rowOff>137160</xdr:rowOff>
    </xdr:to>
    <xdr:graphicFrame macro="">
      <xdr:nvGraphicFramePr>
        <xdr:cNvPr id="51" name="Chart 50">
          <a:hlinkClick xmlns:r="http://schemas.openxmlformats.org/officeDocument/2006/relationships" r:id="rId12"/>
          <a:extLst>
            <a:ext uri="{FF2B5EF4-FFF2-40B4-BE49-F238E27FC236}">
              <a16:creationId xmlns:a16="http://schemas.microsoft.com/office/drawing/2014/main" id="{B17DB833-CCB3-46E9-B444-2DAE75A4BE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231966</xdr:colOff>
          <xdr:row>12</xdr:row>
          <xdr:rowOff>137160</xdr:rowOff>
        </xdr:from>
        <xdr:to>
          <xdr:col>11</xdr:col>
          <xdr:colOff>297179</xdr:colOff>
          <xdr:row>16</xdr:row>
          <xdr:rowOff>60960</xdr:rowOff>
        </xdr:to>
        <xdr:pic>
          <xdr:nvPicPr>
            <xdr:cNvPr id="19" name="Picture 18">
              <a:extLst>
                <a:ext uri="{FF2B5EF4-FFF2-40B4-BE49-F238E27FC236}">
                  <a16:creationId xmlns:a16="http://schemas.microsoft.com/office/drawing/2014/main" id="{2CF1DCFD-9358-B0EF-2106-5EACE2FBE36D}"/>
                </a:ext>
              </a:extLst>
            </xdr:cNvPr>
            <xdr:cNvPicPr>
              <a:picLocks noChangeAspect="1" noChangeArrowheads="1"/>
              <a:extLst>
                <a:ext uri="{84589F7E-364E-4C9E-8A38-B11213B215E9}">
                  <a14:cameraTool cellRange="'Pivot Report'!$A$51:$D$53" spid="_x0000_s2275"/>
                </a:ext>
              </a:extLst>
            </xdr:cNvPicPr>
          </xdr:nvPicPr>
          <xdr:blipFill>
            <a:blip xmlns:r="http://schemas.openxmlformats.org/officeDocument/2006/relationships" r:embed="rId14"/>
            <a:srcRect/>
            <a:stretch>
              <a:fillRect/>
            </a:stretch>
          </xdr:blipFill>
          <xdr:spPr bwMode="auto">
            <a:xfrm>
              <a:off x="1451166" y="2331720"/>
              <a:ext cx="5551613" cy="65532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426720</xdr:colOff>
          <xdr:row>10</xdr:row>
          <xdr:rowOff>83820</xdr:rowOff>
        </xdr:from>
        <xdr:to>
          <xdr:col>12</xdr:col>
          <xdr:colOff>22860</xdr:colOff>
          <xdr:row>18</xdr:row>
          <xdr:rowOff>106680</xdr:rowOff>
        </xdr:to>
        <xdr:pic>
          <xdr:nvPicPr>
            <xdr:cNvPr id="2064" name="Picture 16" hidden="1">
              <a:extLst>
                <a:ext uri="{FF2B5EF4-FFF2-40B4-BE49-F238E27FC236}">
                  <a16:creationId xmlns:a16="http://schemas.microsoft.com/office/drawing/2014/main" id="{6FFCCB2B-F9FB-F5CA-E6B4-40B4A8918CB9}"/>
                </a:ext>
              </a:extLst>
            </xdr:cNvPr>
            <xdr:cNvPicPr>
              <a:picLocks noChangeAspect="1" noChangeArrowheads="1"/>
              <a:extLst>
                <a:ext uri="{84589F7E-364E-4C9E-8A38-B11213B215E9}">
                  <a14:cameraTool cellRange="'Pivot Report'!$A$51:$D$53" spid="_x0000_s2276"/>
                </a:ext>
              </a:extLst>
            </xdr:cNvPicPr>
          </xdr:nvPicPr>
          <xdr:blipFill>
            <a:blip xmlns:r="http://schemas.openxmlformats.org/officeDocument/2006/relationships" r:embed="rId15"/>
            <a:srcRect/>
            <a:stretch>
              <a:fillRect/>
            </a:stretch>
          </xdr:blipFill>
          <xdr:spPr bwMode="auto">
            <a:xfrm>
              <a:off x="1036320" y="1912620"/>
              <a:ext cx="6301740" cy="14859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426720</xdr:colOff>
          <xdr:row>10</xdr:row>
          <xdr:rowOff>83820</xdr:rowOff>
        </xdr:from>
        <xdr:to>
          <xdr:col>12</xdr:col>
          <xdr:colOff>22860</xdr:colOff>
          <xdr:row>18</xdr:row>
          <xdr:rowOff>106680</xdr:rowOff>
        </xdr:to>
        <mc:AlternateContent>
          <mc:Choice Requires="a14">
            <xdr:pic>
              <xdr:nvPicPr>
                <xdr:cNvPr id="2068" name="Picture 20" hidden="1">
                  <a:extLst>
                    <a:ext uri="{FF2B5EF4-FFF2-40B4-BE49-F238E27FC236}">
                      <a16:creationId xmlns:a16="http://schemas.microsoft.com/office/drawing/2014/main" id="{A79E2123-57F7-6A1A-6992-AE968CE099E6}"/>
                    </a:ext>
                  </a:extLst>
                </xdr:cNvPr>
                <xdr:cNvPicPr>
                  <a:picLocks noChangeAspect="1" noChangeArrowheads="1"/>
                  <a:extLst>
                    <a:ext uri="{84589F7E-364E-4C9E-8A38-B11213B215E9}">
                      <a14:cameraTool cellRange="'Pivot Report'!$A$51:$D$53" spid="_x0000_s2277"/>
                    </a:ext>
                  </a:extLst>
                </xdr:cNvPicPr>
              </xdr:nvPicPr>
              <xdr:blipFill>
                <a:blip xmlns:r="http://schemas.openxmlformats.org/officeDocument/2006/relationships" r:embed="rId16"/>
                <a:srcRect/>
                <a:stretch>
                  <a:fillRect/>
                </a:stretch>
              </xdr:blipFill>
              <xdr:spPr bwMode="auto">
                <a:xfrm>
                  <a:off x="1036320" y="1912620"/>
                  <a:ext cx="6301740" cy="1485900"/>
                </a:xfrm>
                <a:prstGeom prst="rect">
                  <a:avLst/>
                </a:prstGeom>
                <a:noFill/>
                <a:extLst>
                  <a:ext uri="{909E8E84-426E-40DD-AFC4-6F175D3DCCD1}">
                    <a14:hiddenFill>
                      <a:solidFill>
                        <a:srgbClr val="FFFFFF"/>
                      </a:solidFill>
                    </a14:hiddenFill>
                  </a:ext>
                </a:extLst>
              </xdr:spPr>
            </xdr:pic>
          </mc:Choice>
          <mc:Fallback xmlns=""/>
        </mc:AlternateContent>
        <xdr:clientData/>
      </xdr:twoCellAnchor>
    </mc:Choice>
    <mc:Fallback/>
  </mc:AlternateContent>
  <xdr:twoCellAnchor>
    <xdr:from>
      <xdr:col>2</xdr:col>
      <xdr:colOff>137160</xdr:colOff>
      <xdr:row>17</xdr:row>
      <xdr:rowOff>53340</xdr:rowOff>
    </xdr:from>
    <xdr:to>
      <xdr:col>11</xdr:col>
      <xdr:colOff>243840</xdr:colOff>
      <xdr:row>25</xdr:row>
      <xdr:rowOff>7620</xdr:rowOff>
    </xdr:to>
    <xdr:graphicFrame macro="">
      <xdr:nvGraphicFramePr>
        <xdr:cNvPr id="5" name="Chart 4">
          <a:extLst>
            <a:ext uri="{FF2B5EF4-FFF2-40B4-BE49-F238E27FC236}">
              <a16:creationId xmlns:a16="http://schemas.microsoft.com/office/drawing/2014/main" id="{063F884A-6DF1-4D59-9DB1-AB48F5BC68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5</xdr:col>
      <xdr:colOff>130924</xdr:colOff>
      <xdr:row>24</xdr:row>
      <xdr:rowOff>60960</xdr:rowOff>
    </xdr:from>
    <xdr:to>
      <xdr:col>8</xdr:col>
      <xdr:colOff>130924</xdr:colOff>
      <xdr:row>25</xdr:row>
      <xdr:rowOff>121920</xdr:rowOff>
    </xdr:to>
    <xdr:sp macro="" textlink="">
      <xdr:nvSpPr>
        <xdr:cNvPr id="7" name="TextBox 6">
          <a:extLst>
            <a:ext uri="{FF2B5EF4-FFF2-40B4-BE49-F238E27FC236}">
              <a16:creationId xmlns:a16="http://schemas.microsoft.com/office/drawing/2014/main" id="{331F9C64-F672-4A00-B3A6-E35C001EF49E}"/>
            </a:ext>
          </a:extLst>
        </xdr:cNvPr>
        <xdr:cNvSpPr txBox="1"/>
      </xdr:nvSpPr>
      <xdr:spPr>
        <a:xfrm>
          <a:off x="3178924" y="4450080"/>
          <a:ext cx="182880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000" b="0">
              <a:latin typeface="Aptos Narrow" panose="020B0004020202020204" pitchFamily="34" charset="0"/>
            </a:rPr>
            <a:t>No.of Patient by Age</a:t>
          </a:r>
          <a:r>
            <a:rPr lang="en-IN" sz="1000" b="0" baseline="0">
              <a:latin typeface="Aptos Narrow" panose="020B0004020202020204" pitchFamily="34" charset="0"/>
            </a:rPr>
            <a:t> Group</a:t>
          </a:r>
        </a:p>
        <a:p>
          <a:pPr algn="ctr"/>
          <a:endParaRPr lang="en-IN" sz="1000" b="0">
            <a:latin typeface="Aptos Narrow" panose="020B0004020202020204" pitchFamily="34" charset="0"/>
          </a:endParaRPr>
        </a:p>
        <a:p>
          <a:pPr algn="ctr"/>
          <a:endParaRPr lang="en-IN" sz="900" b="0">
            <a:latin typeface="Aptos Narrow" panose="020B0004020202020204" pitchFamily="34" charset="0"/>
          </a:endParaRPr>
        </a:p>
      </xdr:txBody>
    </xdr:sp>
    <xdr:clientData/>
  </xdr:twoCellAnchor>
  <xdr:twoCellAnchor>
    <xdr:from>
      <xdr:col>12</xdr:col>
      <xdr:colOff>53340</xdr:colOff>
      <xdr:row>0</xdr:row>
      <xdr:rowOff>53340</xdr:rowOff>
    </xdr:from>
    <xdr:to>
      <xdr:col>16</xdr:col>
      <xdr:colOff>243840</xdr:colOff>
      <xdr:row>10</xdr:row>
      <xdr:rowOff>0</xdr:rowOff>
    </xdr:to>
    <xdr:graphicFrame macro="">
      <xdr:nvGraphicFramePr>
        <xdr:cNvPr id="16" name="Chart 15">
          <a:extLst>
            <a:ext uri="{FF2B5EF4-FFF2-40B4-BE49-F238E27FC236}">
              <a16:creationId xmlns:a16="http://schemas.microsoft.com/office/drawing/2014/main" id="{E991A01A-AED6-4F95-A9E7-8D1BEF8285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12</xdr:col>
      <xdr:colOff>597822</xdr:colOff>
      <xdr:row>10</xdr:row>
      <xdr:rowOff>24938</xdr:rowOff>
    </xdr:from>
    <xdr:to>
      <xdr:col>15</xdr:col>
      <xdr:colOff>597822</xdr:colOff>
      <xdr:row>12</xdr:row>
      <xdr:rowOff>9698</xdr:rowOff>
    </xdr:to>
    <xdr:sp macro="" textlink="">
      <xdr:nvSpPr>
        <xdr:cNvPr id="17" name="TextBox 16">
          <a:extLst>
            <a:ext uri="{FF2B5EF4-FFF2-40B4-BE49-F238E27FC236}">
              <a16:creationId xmlns:a16="http://schemas.microsoft.com/office/drawing/2014/main" id="{D5188BC5-2A31-49DF-B1AE-267603BC3202}"/>
            </a:ext>
          </a:extLst>
        </xdr:cNvPr>
        <xdr:cNvSpPr txBox="1"/>
      </xdr:nvSpPr>
      <xdr:spPr>
        <a:xfrm>
          <a:off x="7913022" y="1853738"/>
          <a:ext cx="182880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0">
              <a:latin typeface="Aptos Narrow" panose="020B0004020202020204" pitchFamily="34" charset="0"/>
            </a:rPr>
            <a:t>Patients attended within Time</a:t>
          </a:r>
        </a:p>
        <a:p>
          <a:pPr algn="ctr"/>
          <a:endParaRPr lang="en-IN" sz="900" b="0">
            <a:latin typeface="Aptos Narrow" panose="020B0004020202020204" pitchFamily="34" charset="0"/>
          </a:endParaRPr>
        </a:p>
      </xdr:txBody>
    </xdr:sp>
    <xdr:clientData/>
  </xdr:twoCellAnchor>
  <xdr:twoCellAnchor>
    <xdr:from>
      <xdr:col>16</xdr:col>
      <xdr:colOff>502920</xdr:colOff>
      <xdr:row>0</xdr:row>
      <xdr:rowOff>106680</xdr:rowOff>
    </xdr:from>
    <xdr:to>
      <xdr:col>21</xdr:col>
      <xdr:colOff>190500</xdr:colOff>
      <xdr:row>9</xdr:row>
      <xdr:rowOff>160020</xdr:rowOff>
    </xdr:to>
    <xdr:graphicFrame macro="">
      <xdr:nvGraphicFramePr>
        <xdr:cNvPr id="18" name="Chart 17">
          <a:extLst>
            <a:ext uri="{FF2B5EF4-FFF2-40B4-BE49-F238E27FC236}">
              <a16:creationId xmlns:a16="http://schemas.microsoft.com/office/drawing/2014/main" id="{2D555519-3928-4155-B8A4-1F21A23416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absolute">
    <xdr:from>
      <xdr:col>17</xdr:col>
      <xdr:colOff>346362</xdr:colOff>
      <xdr:row>10</xdr:row>
      <xdr:rowOff>32558</xdr:rowOff>
    </xdr:from>
    <xdr:to>
      <xdr:col>20</xdr:col>
      <xdr:colOff>346362</xdr:colOff>
      <xdr:row>12</xdr:row>
      <xdr:rowOff>17318</xdr:rowOff>
    </xdr:to>
    <xdr:sp macro="" textlink="">
      <xdr:nvSpPr>
        <xdr:cNvPr id="23" name="TextBox 22">
          <a:extLst>
            <a:ext uri="{FF2B5EF4-FFF2-40B4-BE49-F238E27FC236}">
              <a16:creationId xmlns:a16="http://schemas.microsoft.com/office/drawing/2014/main" id="{97BE40C8-272A-4D30-855C-79D78698D53C}"/>
            </a:ext>
          </a:extLst>
        </xdr:cNvPr>
        <xdr:cNvSpPr txBox="1"/>
      </xdr:nvSpPr>
      <xdr:spPr>
        <a:xfrm>
          <a:off x="10709562" y="1861358"/>
          <a:ext cx="182880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0">
              <a:latin typeface="Aptos Narrow" panose="020B0004020202020204" pitchFamily="34" charset="0"/>
            </a:rPr>
            <a:t>Gender</a:t>
          </a:r>
          <a:r>
            <a:rPr lang="en-IN" sz="1200" b="0" baseline="0">
              <a:latin typeface="Aptos Narrow" panose="020B0004020202020204" pitchFamily="34" charset="0"/>
            </a:rPr>
            <a:t> Wise Analysis</a:t>
          </a:r>
        </a:p>
        <a:p>
          <a:pPr algn="ctr"/>
          <a:endParaRPr lang="en-IN" sz="1200" b="0">
            <a:latin typeface="Aptos Narrow" panose="020B0004020202020204" pitchFamily="34" charset="0"/>
          </a:endParaRPr>
        </a:p>
        <a:p>
          <a:pPr algn="ctr"/>
          <a:endParaRPr lang="en-IN" sz="900" b="0">
            <a:latin typeface="Aptos Narrow" panose="020B0004020202020204" pitchFamily="34" charset="0"/>
          </a:endParaRPr>
        </a:p>
      </xdr:txBody>
    </xdr:sp>
    <xdr:clientData/>
  </xdr:twoCellAnchor>
  <xdr:twoCellAnchor>
    <xdr:from>
      <xdr:col>12</xdr:col>
      <xdr:colOff>144780</xdr:colOff>
      <xdr:row>12</xdr:row>
      <xdr:rowOff>116378</xdr:rowOff>
    </xdr:from>
    <xdr:to>
      <xdr:col>21</xdr:col>
      <xdr:colOff>15240</xdr:colOff>
      <xdr:row>23</xdr:row>
      <xdr:rowOff>175259</xdr:rowOff>
    </xdr:to>
    <xdr:graphicFrame macro="">
      <xdr:nvGraphicFramePr>
        <xdr:cNvPr id="24" name="Chart 23">
          <a:extLst>
            <a:ext uri="{FF2B5EF4-FFF2-40B4-BE49-F238E27FC236}">
              <a16:creationId xmlns:a16="http://schemas.microsoft.com/office/drawing/2014/main" id="{637892F9-3F4D-4292-88B2-799A77863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editAs="absolute">
    <xdr:from>
      <xdr:col>15</xdr:col>
      <xdr:colOff>594360</xdr:colOff>
      <xdr:row>22</xdr:row>
      <xdr:rowOff>91440</xdr:rowOff>
    </xdr:from>
    <xdr:to>
      <xdr:col>21</xdr:col>
      <xdr:colOff>15240</xdr:colOff>
      <xdr:row>24</xdr:row>
      <xdr:rowOff>91441</xdr:rowOff>
    </xdr:to>
    <xdr:sp macro="" textlink="">
      <xdr:nvSpPr>
        <xdr:cNvPr id="25" name="TextBox 24">
          <a:extLst>
            <a:ext uri="{FF2B5EF4-FFF2-40B4-BE49-F238E27FC236}">
              <a16:creationId xmlns:a16="http://schemas.microsoft.com/office/drawing/2014/main" id="{CB2778A0-198A-4E14-A474-3144954B1FA8}"/>
            </a:ext>
          </a:extLst>
        </xdr:cNvPr>
        <xdr:cNvSpPr txBox="1"/>
      </xdr:nvSpPr>
      <xdr:spPr>
        <a:xfrm>
          <a:off x="9738360" y="4114800"/>
          <a:ext cx="3078480" cy="3657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b="0">
              <a:latin typeface="Aptos Narrow" panose="020B0004020202020204" pitchFamily="34" charset="0"/>
            </a:rPr>
            <a:t>No.of Patient by Department Referral</a:t>
          </a:r>
        </a:p>
        <a:p>
          <a:pPr algn="ctr"/>
          <a:endParaRPr lang="en-IN" sz="900" b="0">
            <a:latin typeface="Aptos Narrow" panose="020B0004020202020204" pitchFamily="34" charset="0"/>
          </a:endParaRPr>
        </a:p>
      </xdr:txBody>
    </xdr:sp>
    <xdr:clientData/>
  </xdr:twoCellAnchor>
  <xdr:twoCellAnchor editAs="oneCell">
    <xdr:from>
      <xdr:col>8</xdr:col>
      <xdr:colOff>213360</xdr:colOff>
      <xdr:row>1</xdr:row>
      <xdr:rowOff>160020</xdr:rowOff>
    </xdr:from>
    <xdr:to>
      <xdr:col>11</xdr:col>
      <xdr:colOff>357447</xdr:colOff>
      <xdr:row>4</xdr:row>
      <xdr:rowOff>83821</xdr:rowOff>
    </xdr:to>
    <mc:AlternateContent xmlns:mc="http://schemas.openxmlformats.org/markup-compatibility/2006" xmlns:a14="http://schemas.microsoft.com/office/drawing/2010/main">
      <mc:Choice Requires="a14">
        <xdr:graphicFrame macro="">
          <xdr:nvGraphicFramePr>
            <xdr:cNvPr id="26" name="Date (Year)">
              <a:extLst>
                <a:ext uri="{FF2B5EF4-FFF2-40B4-BE49-F238E27FC236}">
                  <a16:creationId xmlns:a16="http://schemas.microsoft.com/office/drawing/2014/main" id="{A0DE2732-BF07-4A8F-8FDC-732568E51A15}"/>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5090160" y="342900"/>
              <a:ext cx="1972887" cy="4724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263235</xdr:colOff>
      <xdr:row>0</xdr:row>
      <xdr:rowOff>131618</xdr:rowOff>
    </xdr:from>
    <xdr:to>
      <xdr:col>20</xdr:col>
      <xdr:colOff>166255</xdr:colOff>
      <xdr:row>17</xdr:row>
      <xdr:rowOff>131618</xdr:rowOff>
    </xdr:to>
    <xdr:graphicFrame macro="">
      <xdr:nvGraphicFramePr>
        <xdr:cNvPr id="4" name="Chart 3">
          <a:extLst>
            <a:ext uri="{FF2B5EF4-FFF2-40B4-BE49-F238E27FC236}">
              <a16:creationId xmlns:a16="http://schemas.microsoft.com/office/drawing/2014/main" id="{34B6BAAF-AD10-4EAB-9282-CF32BCEA24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76201</xdr:colOff>
      <xdr:row>0</xdr:row>
      <xdr:rowOff>48489</xdr:rowOff>
    </xdr:from>
    <xdr:to>
      <xdr:col>0</xdr:col>
      <xdr:colOff>607293</xdr:colOff>
      <xdr:row>2</xdr:row>
      <xdr:rowOff>166254</xdr:rowOff>
    </xdr:to>
    <xdr:pic>
      <xdr:nvPicPr>
        <xdr:cNvPr id="6" name="Graphic 5" descr="Home with solid fill">
          <a:hlinkClick xmlns:r="http://schemas.openxmlformats.org/officeDocument/2006/relationships" r:id="rId2"/>
          <a:extLst>
            <a:ext uri="{FF2B5EF4-FFF2-40B4-BE49-F238E27FC236}">
              <a16:creationId xmlns:a16="http://schemas.microsoft.com/office/drawing/2014/main" id="{1B07B113-81A8-6469-FB79-7A42CD74D0F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201" y="48489"/>
          <a:ext cx="531092" cy="47798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235527</xdr:colOff>
      <xdr:row>0</xdr:row>
      <xdr:rowOff>167640</xdr:rowOff>
    </xdr:from>
    <xdr:to>
      <xdr:col>20</xdr:col>
      <xdr:colOff>121920</xdr:colOff>
      <xdr:row>17</xdr:row>
      <xdr:rowOff>99060</xdr:rowOff>
    </xdr:to>
    <xdr:graphicFrame macro="">
      <xdr:nvGraphicFramePr>
        <xdr:cNvPr id="2" name="Chart 1">
          <a:extLst>
            <a:ext uri="{FF2B5EF4-FFF2-40B4-BE49-F238E27FC236}">
              <a16:creationId xmlns:a16="http://schemas.microsoft.com/office/drawing/2014/main" id="{E1F4776B-E7F5-44F3-86C4-222ABBD9A0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55418</xdr:colOff>
      <xdr:row>0</xdr:row>
      <xdr:rowOff>62347</xdr:rowOff>
    </xdr:from>
    <xdr:to>
      <xdr:col>0</xdr:col>
      <xdr:colOff>595745</xdr:colOff>
      <xdr:row>2</xdr:row>
      <xdr:rowOff>150937</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9201581D-12D0-B026-5074-EF78F61A253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5418" y="62347"/>
          <a:ext cx="540327" cy="44880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55418</xdr:colOff>
      <xdr:row>0</xdr:row>
      <xdr:rowOff>62347</xdr:rowOff>
    </xdr:from>
    <xdr:to>
      <xdr:col>0</xdr:col>
      <xdr:colOff>595745</xdr:colOff>
      <xdr:row>2</xdr:row>
      <xdr:rowOff>150937</xdr:rowOff>
    </xdr:to>
    <xdr:pic>
      <xdr:nvPicPr>
        <xdr:cNvPr id="3" name="Graphic 2" descr="Home with solid fill">
          <a:hlinkClick xmlns:r="http://schemas.openxmlformats.org/officeDocument/2006/relationships" r:id="rId1"/>
          <a:extLst>
            <a:ext uri="{FF2B5EF4-FFF2-40B4-BE49-F238E27FC236}">
              <a16:creationId xmlns:a16="http://schemas.microsoft.com/office/drawing/2014/main" id="{4890D47E-6512-49E4-9D5E-957CE63A087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5418" y="62347"/>
          <a:ext cx="540327" cy="454350"/>
        </a:xfrm>
        <a:prstGeom prst="rect">
          <a:avLst/>
        </a:prstGeom>
      </xdr:spPr>
    </xdr:pic>
    <xdr:clientData/>
  </xdr:twoCellAnchor>
  <xdr:twoCellAnchor>
    <xdr:from>
      <xdr:col>1</xdr:col>
      <xdr:colOff>304799</xdr:colOff>
      <xdr:row>1</xdr:row>
      <xdr:rowOff>48491</xdr:rowOff>
    </xdr:from>
    <xdr:to>
      <xdr:col>20</xdr:col>
      <xdr:colOff>48490</xdr:colOff>
      <xdr:row>17</xdr:row>
      <xdr:rowOff>145472</xdr:rowOff>
    </xdr:to>
    <xdr:graphicFrame macro="">
      <xdr:nvGraphicFramePr>
        <xdr:cNvPr id="4" name="Chart 3">
          <a:extLst>
            <a:ext uri="{FF2B5EF4-FFF2-40B4-BE49-F238E27FC236}">
              <a16:creationId xmlns:a16="http://schemas.microsoft.com/office/drawing/2014/main" id="{1A34D99A-A074-4089-B887-85C88B0AAA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shrey" refreshedDate="45935.609239004632" backgroundQuery="1" createdVersion="8" refreshedVersion="8" minRefreshableVersion="3" recordCount="0" supportSubquery="1" supportAdvancedDrill="1" xr:uid="{66C9B63A-70AA-4EDB-AAB7-FB13C3B9B97E}">
  <cacheSource type="external" connectionId="3"/>
  <cacheFields count="2">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unt="1">
        <s v="2023"/>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shrey" refreshedDate="45935.60923923611" backgroundQuery="1" createdVersion="8" refreshedVersion="8" minRefreshableVersion="3" recordCount="0" supportSubquery="1" supportAdvancedDrill="1" xr:uid="{DF74DC45-1D47-4DAB-AD5C-626264DBB328}">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shrey" refreshedDate="45935.609239814818" backgroundQuery="1" createdVersion="8" refreshedVersion="8" minRefreshableVersion="3" recordCount="0" supportSubquery="1" supportAdvancedDrill="1" xr:uid="{3747321D-1C1E-43E1-97F2-6DD6E25F2EFD}">
  <cacheSource type="external" connectionId="3"/>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shrey" refreshedDate="45935.609240277779" backgroundQuery="1" createdVersion="8" refreshedVersion="8" minRefreshableVersion="3" recordCount="0" supportSubquery="1" supportAdvancedDrill="1" xr:uid="{ADDF50E9-2D59-47D4-94E8-E4BEE47E9C5E}">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shrey" refreshedDate="45935.60924085648" backgroundQuery="1" createdVersion="8" refreshedVersion="8" minRefreshableVersion="3" recordCount="0" supportSubquery="1" supportAdvancedDrill="1" xr:uid="{810C8E99-6D2E-4FC1-A4E2-9648C1A28A40}">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shrey" refreshedDate="45935.609241435188" backgroundQuery="1" createdVersion="8" refreshedVersion="8" minRefreshableVersion="3" recordCount="0" supportSubquery="1" supportAdvancedDrill="1" xr:uid="{E8E4DD67-0AAA-485C-9823-6A8757AD4A9B}">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shrey" refreshedDate="45935.609241666665" backgroundQuery="1" createdVersion="8" refreshedVersion="8" minRefreshableVersion="3" recordCount="0" supportSubquery="1" supportAdvancedDrill="1" xr:uid="{71FE15EB-E562-4512-8710-D6922D72ED11}">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shrey" refreshedDate="45935.60924247685" backgroundQuery="1" createdVersion="8" refreshedVersion="8" minRefreshableVersion="3" recordCount="0" supportSubquery="1" supportAdvancedDrill="1" xr:uid="{8F11C198-349A-48EE-8833-3EC327EBD8DE}">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shrey" refreshedDate="45935.609242824074" backgroundQuery="1" createdVersion="8" refreshedVersion="8" minRefreshableVersion="3" recordCount="0" supportSubquery="1" supportAdvancedDrill="1" xr:uid="{668D9C08-8AE2-4A2D-A0F7-1309CD14A404}">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shrey" refreshedDate="45935.60924351852" backgroundQuery="1" createdVersion="8" refreshedVersion="8" minRefreshableVersion="3" recordCount="0" supportSubquery="1" supportAdvancedDrill="1" xr:uid="{39DD75F5-83B5-4570-9599-E05C2A659DD6}">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shrey" refreshedDate="45935.609244212967" backgroundQuery="1" createdVersion="8" refreshedVersion="8" minRefreshableVersion="3" recordCount="0" supportSubquery="1" supportAdvancedDrill="1" xr:uid="{7ADCA730-5D3B-470B-96CD-D87FC3C77CE9}">
  <cacheSource type="external" connectionId="3"/>
  <cacheFields count="4">
    <cacheField name="[Calendar_Table].[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saveData="0" refreshedBy="shrey" refreshedDate="45935.609244907406" backgroundQuery="1" createdVersion="8" refreshedVersion="8" minRefreshableVersion="3" recordCount="0" supportSubquery="1" supportAdvancedDrill="1" xr:uid="{1513592E-FEA8-4B1F-9E45-8EC1A7DE9EE8}">
  <cacheSource type="external" connectionId="3"/>
  <cacheFields count="4">
    <cacheField name="[Calendar_Table].[Date (Day)].[Date (Day)]" caption="Date (Day)" numFmtId="0" hierarchy="2" level="1">
      <sharedItems count="31">
        <s v="1-Jul"/>
        <s v="2-Jul"/>
        <s v="3-Jul"/>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rey" refreshedDate="45935.591289004631" backgroundQuery="1" createdVersion="3" refreshedVersion="8" minRefreshableVersion="3" recordCount="0" supportSubquery="1" supportAdvancedDrill="1" xr:uid="{96D2458C-16DB-4229-9E7D-8FAD885AAE08}">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90689699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2FAA07-241B-41CE-BC64-643D00F1B0EB}" name="PivotTable7" cacheId="9" applyNumberFormats="0" applyBorderFormats="0" applyFontFormats="0" applyPatternFormats="0" applyAlignmentFormats="0" applyWidthHeightFormats="1" dataCaption="Values" tag="67b9394b-5a23-44a4-9ac0-3d5b12983d2b" updatedVersion="8" minRefreshableVersion="3" useAutoFormatting="1" subtotalHiddenItems="1" itemPrintTitles="1" createdVersion="8" indent="0" outline="1" outlineData="1" multipleFieldFilters="0" chartFormat="21">
  <location ref="D4:E36"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3">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4C21A1-EBA2-4DCD-8F65-C611E0DF6529}" name="PivotTable2" cacheId="4" applyNumberFormats="0" applyBorderFormats="0" applyFontFormats="0" applyPatternFormats="0" applyAlignmentFormats="0" applyWidthHeightFormats="1" dataCaption="Values" tag="cf8c5da3-5862-4fdc-93af-7801d9a0b719" updatedVersion="8" minRefreshableVersion="3" subtotalHiddenItems="1" itemPrintTitles="1" createdVersion="8" indent="0" outline="1" outlineData="1" multipleFieldFilters="0" chartFormat="12">
  <location ref="A57:B6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1">
    <format dxfId="0">
      <pivotArea outline="0" collapsedLevelsAreSubtotals="1" fieldPosition="0"/>
    </format>
  </formats>
  <chartFormats count="1">
    <chartFormat chart="10"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DBCFC7-DB65-4809-9317-F4759B1EEF30}" name="PivotTable10" cacheId="2" applyNumberFormats="0" applyBorderFormats="0" applyFontFormats="0" applyPatternFormats="0" applyAlignmentFormats="0" applyWidthHeightFormats="1" dataCaption="Values" tag="cf8c5da3-5862-4fdc-93af-7801d9a0b719" updatedVersion="8" minRefreshableVersion="3" subtotalHiddenItems="1" itemPrintTitles="1" createdVersion="8" indent="0" outline="1" outlineData="1" multipleFieldFilters="0" chartFormat="8">
  <location ref="A43:C46"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2">
      <pivotArea outline="0" collapsedLevelsAreSubtotals="1" fieldPosition="0"/>
    </format>
    <format dxfId="1">
      <pivotArea outline="0" fieldPosition="0">
        <references count="1">
          <reference field="4294967294" count="1">
            <x v="1"/>
          </reference>
        </references>
      </pivotArea>
    </format>
  </formats>
  <chartFormats count="2">
    <chartFormat chart="0" format="5"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1"/>
          </reference>
        </references>
      </pivotArea>
    </chartFormat>
  </chartFormats>
  <pivotHierarchies count="35">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730A3A-D829-433F-B405-6FE428973AE4}" name="PivotTable1" cacheId="1" applyNumberFormats="0" applyBorderFormats="0" applyFontFormats="0" applyPatternFormats="0" applyAlignmentFormats="0" applyWidthHeightFormats="1" dataCaption="Values" tag="666d3f02-8219-4e67-8544-e06044f7e3ee" updatedVersion="8" minRefreshableVersion="3" useAutoFormatting="1" subtotalHiddenItems="1" itemPrintTitles="1" createdVersion="8"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E3ECA3-BC09-4C74-9993-D8B22D26800F}" name="PivotTable12" cacheId="0" applyNumberFormats="0" applyBorderFormats="0" applyFontFormats="0" applyPatternFormats="0" applyAlignmentFormats="0" applyWidthHeightFormats="1" dataCaption="Values" tag="cf8c5da3-5862-4fdc-93af-7801d9a0b719" updatedVersion="8" minRefreshableVersion="3" subtotalHiddenItems="1" itemPrintTitles="1" createdVersion="8" indent="0" outline="1" outlineData="1" multipleFieldFilters="0" chartFormat="25">
  <location ref="D89:D91" firstHeaderRow="1" firstDataRow="1" firstDataCol="1"/>
  <pivotFields count="2">
    <pivotField allDrilled="1" subtotalTop="0" showAll="0" dataSourceSort="1" defaultSubtotal="0" defaultAttributeDrillState="1"/>
    <pivotField axis="axisRow" allDrilled="1" subtotalTop="0" showAll="0" dataSourceSort="1" defaultSubtotal="0" defaultAttributeDrillState="1">
      <items count="1">
        <item s="1" x="0"/>
      </items>
    </pivotField>
  </pivotFields>
  <rowFields count="1">
    <field x="1"/>
  </rowFields>
  <rowItems count="2">
    <i>
      <x/>
    </i>
    <i t="grand">
      <x/>
    </i>
  </rowItems>
  <formats count="1">
    <format dxfId="3">
      <pivotArea outline="0" collapsedLevelsAreSubtotals="1" fieldPosition="0"/>
    </format>
  </formats>
  <pivotHierarchies count="34">
    <pivotHierarchy dragToData="1"/>
    <pivotHierarchy multipleItemSelectionAllowed="1" dragToData="1">
      <members count="1" level="1">
        <member name="[Calendar_Table].[Date (Month)].&amp;[Jul]"/>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AB26497-B994-4193-9CA0-AE611D849389}" name="PivotTable11" cacheId="3" applyNumberFormats="0" applyBorderFormats="0" applyFontFormats="0" applyPatternFormats="0" applyAlignmentFormats="0" applyWidthHeightFormats="1" dataCaption="Values" tag="cf8c5da3-5862-4fdc-93af-7801d9a0b719" updatedVersion="8" minRefreshableVersion="3" subtotalHiddenItems="1" itemPrintTitles="1" createdVersion="8" indent="0" outline="1" outlineData="1" multipleFieldFilters="0" chartFormat="25">
  <location ref="A89:B98"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v="3"/>
    </i>
    <i>
      <x v="6"/>
    </i>
    <i>
      <x/>
    </i>
    <i>
      <x v="5"/>
    </i>
    <i>
      <x v="2"/>
    </i>
    <i>
      <x v="4"/>
    </i>
    <i t="grand">
      <x/>
    </i>
  </rowItems>
  <colItems count="1">
    <i/>
  </colItems>
  <dataFields count="1">
    <dataField name="Count of Department Referral" fld="2" subtotal="count" baseField="0" baseItem="0"/>
  </dataFields>
  <formats count="1">
    <format dxfId="4">
      <pivotArea outline="0" collapsedLevelsAreSubtotals="1" fieldPosition="0"/>
    </format>
  </formats>
  <chartFormats count="1">
    <chartFormat chart="24"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0A1AF2C-BCA7-4B93-AF08-A2A5FF844025}" name="PivotTable9" cacheId="11" applyNumberFormats="0" applyBorderFormats="0" applyFontFormats="0" applyPatternFormats="0" applyAlignmentFormats="0" applyWidthHeightFormats="1" dataCaption="Values" tag="57425718-0bda-47ea-a55f-577ff10ea7f8" updatedVersion="8" minRefreshableVersion="3" useAutoFormatting="1" subtotalHiddenItems="1" itemPrintTitles="1" createdVersion="8" indent="0" outline="1" outlineData="1" multipleFieldFilters="0" chartFormat="41">
  <location ref="J4:K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5">
      <pivotArea outline="0" collapsedLevelsAreSubtotals="1" fieldPosition="0"/>
    </format>
  </formats>
  <chartFormats count="2">
    <chartFormat chart="36" format="2" series="1">
      <pivotArea type="data" outline="0" fieldPosition="0">
        <references count="1">
          <reference field="4294967294" count="1" selected="0">
            <x v="0"/>
          </reference>
        </references>
      </pivotArea>
    </chartFormat>
    <chartFormat chart="38"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F3373B9-1987-4287-809A-4561F39293A2}" name="PivotTable8" cacheId="10" applyNumberFormats="0" applyBorderFormats="0" applyFontFormats="0" applyPatternFormats="0" applyAlignmentFormats="0" applyWidthHeightFormats="1" dataCaption="Values" tag="68df79da-d8c5-4ccd-97fc-d219094b6005" updatedVersion="8" minRefreshableVersion="3" useAutoFormatting="1" subtotalHiddenItems="1" itemPrintTitles="1" createdVersion="8" indent="0" outline="1" outlineData="1" multipleFieldFilters="0" chartFormat="33">
  <location ref="G4:H36"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1">
    <format dxfId="6">
      <pivotArea outline="0" collapsedLevelsAreSubtotals="1" fieldPosition="0"/>
    </format>
  </formats>
  <chartFormats count="2">
    <chartFormat chart="23" format="6" series="1">
      <pivotArea type="data" outline="0" fieldPosition="0">
        <references count="1">
          <reference field="4294967294" count="1" selected="0">
            <x v="0"/>
          </reference>
        </references>
      </pivotArea>
    </chartFormat>
    <chartFormat chart="25" format="8"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0E4538B-0FAE-44A3-8501-DB04CA759072}" name="PivotTable5" cacheId="7" applyNumberFormats="0" applyBorderFormats="0" applyFontFormats="0" applyPatternFormats="0" applyAlignmentFormats="0" applyWidthHeightFormats="1" dataCaption="Values" tag="cf8c5da3-5862-4fdc-93af-7801d9a0b719" updatedVersion="8" minRefreshableVersion="3" subtotalHiddenItems="1" itemPrintTitles="1" createdVersion="8" indent="0" outline="1" outlineData="1" multipleFieldFilters="0" chartFormat="22">
  <location ref="A81:B8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7">
      <pivotArea outline="0" collapsedLevelsAreSubtotals="1" fieldPosition="0"/>
    </format>
  </formats>
  <chartFormats count="3">
    <chartFormat chart="20" format="5" series="1">
      <pivotArea type="data" outline="0" fieldPosition="0">
        <references count="1">
          <reference field="4294967294" count="1" selected="0">
            <x v="0"/>
          </reference>
        </references>
      </pivotArea>
    </chartFormat>
    <chartFormat chart="20" format="6">
      <pivotArea type="data" outline="0" fieldPosition="0">
        <references count="2">
          <reference field="4294967294" count="1" selected="0">
            <x v="0"/>
          </reference>
          <reference field="1" count="1" selected="0">
            <x v="0"/>
          </reference>
        </references>
      </pivotArea>
    </chartFormat>
    <chartFormat chart="20" format="7">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DE6EEC7-DB29-4859-87F5-3837CBBC2D5F}" name="PivotTable6" cacheId="8" applyNumberFormats="0" applyBorderFormats="0" applyFontFormats="0" applyPatternFormats="0" applyAlignmentFormats="0" applyWidthHeightFormats="1" dataCaption="Values" tag="bc5775a6-ed43-4b8d-b2d4-fdab98dd4cba" updatedVersion="8" minRefreshableVersion="3" useAutoFormatting="1" subtotalHiddenItems="1" itemPrintTitles="1" createdVersion="8"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8">
      <pivotArea outline="0" collapsedLevelsAreSubtotals="1" fieldPosition="0"/>
    </format>
  </formats>
  <pivotHierarchies count="34">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415F091-5288-4CB9-94D0-D9AFFFD3C05E}" name="PivotTable4" cacheId="6" applyNumberFormats="0" applyBorderFormats="0" applyFontFormats="0" applyPatternFormats="0" applyAlignmentFormats="0" applyWidthHeightFormats="1" dataCaption="Values" tag="66c814e1-0887-4dbe-8b19-760192aa7d2f" updatedVersion="8" minRefreshableVersion="3" useAutoFormatting="1" subtotalHiddenItems="1" itemPrintTitles="1" createdVersion="8"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9">
      <pivotArea outline="0" collapsedLevelsAreSubtotals="1" fieldPosition="0"/>
    </format>
  </formats>
  <pivotHierarchies count="34">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F55D01E-3FB8-477D-B23D-D5287E603214}" name="PivotTable3" cacheId="5" applyNumberFormats="0" applyBorderFormats="0" applyFontFormats="0" applyPatternFormats="0" applyAlignmentFormats="0" applyWidthHeightFormats="1" dataCaption="Values" tag="cf8c5da3-5862-4fdc-93af-7801d9a0b719" updatedVersion="8" minRefreshableVersion="3" subtotalHiddenItems="1" itemPrintTitles="1" createdVersion="8" indent="0" outline="1" outlineData="1" multipleFieldFilters="0" chartFormat="17">
  <location ref="A73:B7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10">
      <pivotArea outline="0" collapsedLevelsAreSubtotals="1" fieldPosition="0"/>
    </format>
  </formats>
  <chartFormats count="3">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1" count="1" selected="0">
            <x v="0"/>
          </reference>
        </references>
      </pivotArea>
    </chartFormat>
    <chartFormat chart="16"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Jul]"/>
      </members>
    </pivotHierarchy>
    <pivotHierarchy dragToData="1"/>
    <pivotHierarchy multipleItemSelectionAllowed="1" dragToData="1">
      <members count="1" level="1">
        <member name="[Calenda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5BC5F14C-7003-4A3D-ADDB-9FD431E17CE1}" sourceName="[Calendar_Table].[Date (Month)]">
  <pivotTables>
    <pivotTable tabId="1" name="PivotTable7"/>
    <pivotTable tabId="1" name="PivotTable1"/>
    <pivotTable tabId="1" name="PivotTable4"/>
    <pivotTable tabId="1" name="PivotTable6"/>
    <pivotTable tabId="1" name="PivotTable8"/>
    <pivotTable tabId="1" name="PivotTable9"/>
    <pivotTable tabId="1" name="PivotTable10"/>
    <pivotTable tabId="1" name="PivotTable2"/>
    <pivotTable tabId="1" name="PivotTable3"/>
    <pivotTable tabId="1" name="PivotTable5"/>
    <pivotTable tabId="1" name="PivotTable11"/>
    <pivotTable tabId="1" name="PivotTable12"/>
  </pivotTables>
  <data>
    <olap pivotCacheId="906896999">
      <levels count="2">
        <level uniqueName="[Calendar_Table].[Date (Month)].[(All)]" sourceCaption="(All)" count="0"/>
        <level uniqueName="[Calendar_Table].[Date (Month)].[Date (Month)]" sourceCaption="Date (Month)" count="12">
          <ranges>
            <range startItem="0">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Jan]" c="Jan" nd="1"/>
              <i n="[Calendar_Table].[Date (Month)].&amp;[Feb]" c="Feb" nd="1"/>
              <i n="[Calendar_Table].[Date (Month)].&amp;[Mar]" c="Mar" nd="1"/>
            </range>
          </ranges>
        </level>
      </levels>
      <selections count="1">
        <selection n="[Calendar_Table].[Date (Month)].&amp;[Ju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D6711699-6EAF-4AEA-A536-ED00C3CBFF09}"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906896999">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2A5879C5-B106-41FE-908B-FD48BCC7E016}" cache="Slicer_Date__Month" caption="Date (Month)" showCaption="0" level="1" style="SlicerStyleLight2 2" rowHeight="244800"/>
  <slicer name="Date (Year)" xr10:uid="{BFC51F80-1E5E-434C-B3D5-D60B19BB53A2}" cache="Slicer_Date__Year" caption="Date (Year)" columnCount="2" showCaption="0" level="1" style="SlicerStyleLight2 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5C9E3-4884-4275-910E-93EADA98674C}">
  <dimension ref="A3:K98"/>
  <sheetViews>
    <sheetView zoomScale="120" zoomScaleNormal="120" workbookViewId="0">
      <selection activeCell="W35" sqref="W35"/>
    </sheetView>
  </sheetViews>
  <sheetFormatPr defaultRowHeight="14.4" x14ac:dyDescent="0.3"/>
  <cols>
    <col min="1" max="1" width="32.5546875" bestFit="1" customWidth="1"/>
    <col min="2" max="2" width="16.44140625" customWidth="1"/>
    <col min="3" max="3" width="17.5546875" customWidth="1"/>
    <col min="4" max="4" width="12.5546875" bestFit="1" customWidth="1"/>
    <col min="5" max="5" width="24.33203125" bestFit="1" customWidth="1"/>
    <col min="7" max="7" width="12.5546875" bestFit="1" customWidth="1"/>
    <col min="8" max="8" width="25.33203125" bestFit="1" customWidth="1"/>
    <col min="9" max="9" width="11.109375" customWidth="1"/>
    <col min="10" max="10" width="12.5546875" bestFit="1" customWidth="1"/>
    <col min="11" max="11" width="32.5546875" bestFit="1" customWidth="1"/>
    <col min="12" max="12" width="29.21875" bestFit="1" customWidth="1"/>
  </cols>
  <sheetData>
    <row r="3" spans="1:11" x14ac:dyDescent="0.3">
      <c r="A3" t="s">
        <v>3</v>
      </c>
      <c r="D3" t="s">
        <v>7</v>
      </c>
      <c r="G3" t="s">
        <v>8</v>
      </c>
      <c r="J3" t="s">
        <v>10</v>
      </c>
    </row>
    <row r="4" spans="1:11" x14ac:dyDescent="0.3">
      <c r="A4" t="s">
        <v>0</v>
      </c>
      <c r="D4" s="1" t="s">
        <v>4</v>
      </c>
      <c r="E4" t="s">
        <v>0</v>
      </c>
      <c r="G4" s="1" t="s">
        <v>4</v>
      </c>
      <c r="H4" t="s">
        <v>1</v>
      </c>
      <c r="J4" s="1" t="s">
        <v>4</v>
      </c>
      <c r="K4" t="s">
        <v>2</v>
      </c>
    </row>
    <row r="5" spans="1:11" x14ac:dyDescent="0.3">
      <c r="A5">
        <v>464</v>
      </c>
      <c r="D5" s="4" t="s">
        <v>25</v>
      </c>
      <c r="E5">
        <v>15</v>
      </c>
      <c r="G5" s="4" t="s">
        <v>25</v>
      </c>
      <c r="H5" s="2">
        <v>38.200000000000003</v>
      </c>
      <c r="J5" s="4" t="s">
        <v>25</v>
      </c>
      <c r="K5" s="2">
        <v>2</v>
      </c>
    </row>
    <row r="6" spans="1:11" x14ac:dyDescent="0.3">
      <c r="D6" s="4" t="s">
        <v>26</v>
      </c>
      <c r="E6">
        <v>9</v>
      </c>
      <c r="G6" s="4" t="s">
        <v>26</v>
      </c>
      <c r="H6" s="2">
        <v>32.444444444444443</v>
      </c>
      <c r="J6" s="4" t="s">
        <v>26</v>
      </c>
      <c r="K6" s="2">
        <v>6.5</v>
      </c>
    </row>
    <row r="7" spans="1:11" x14ac:dyDescent="0.3">
      <c r="D7" s="4" t="s">
        <v>27</v>
      </c>
      <c r="E7">
        <v>16</v>
      </c>
      <c r="G7" s="4" t="s">
        <v>27</v>
      </c>
      <c r="H7" s="2">
        <v>37.875</v>
      </c>
      <c r="J7" s="4" t="s">
        <v>27</v>
      </c>
      <c r="K7" s="2">
        <v>2.5</v>
      </c>
    </row>
    <row r="8" spans="1:11" x14ac:dyDescent="0.3">
      <c r="A8" t="s">
        <v>1</v>
      </c>
      <c r="D8" s="4" t="s">
        <v>28</v>
      </c>
      <c r="E8">
        <v>16</v>
      </c>
      <c r="G8" s="4" t="s">
        <v>28</v>
      </c>
      <c r="H8" s="2">
        <v>34.125</v>
      </c>
      <c r="J8" s="4" t="s">
        <v>28</v>
      </c>
      <c r="K8" s="2">
        <v>2</v>
      </c>
    </row>
    <row r="9" spans="1:11" x14ac:dyDescent="0.3">
      <c r="A9" s="2">
        <v>34.719827586206897</v>
      </c>
      <c r="D9" s="4" t="s">
        <v>29</v>
      </c>
      <c r="E9">
        <v>8</v>
      </c>
      <c r="G9" s="4" t="s">
        <v>29</v>
      </c>
      <c r="H9" s="2">
        <v>24.5</v>
      </c>
      <c r="J9" s="4" t="s">
        <v>29</v>
      </c>
      <c r="K9" s="2">
        <v>2</v>
      </c>
    </row>
    <row r="10" spans="1:11" x14ac:dyDescent="0.3">
      <c r="D10" s="4" t="s">
        <v>30</v>
      </c>
      <c r="E10">
        <v>12</v>
      </c>
      <c r="G10" s="4" t="s">
        <v>30</v>
      </c>
      <c r="H10" s="2">
        <v>34.666666666666664</v>
      </c>
      <c r="J10" s="4" t="s">
        <v>30</v>
      </c>
      <c r="K10" s="2">
        <v>6</v>
      </c>
    </row>
    <row r="11" spans="1:11" x14ac:dyDescent="0.3">
      <c r="A11" t="s">
        <v>2</v>
      </c>
      <c r="D11" s="4" t="s">
        <v>31</v>
      </c>
      <c r="E11">
        <v>15</v>
      </c>
      <c r="G11" s="4" t="s">
        <v>31</v>
      </c>
      <c r="H11" s="2">
        <v>38.333333333333336</v>
      </c>
      <c r="J11" s="4" t="s">
        <v>31</v>
      </c>
      <c r="K11" s="2">
        <v>4.5714285714285712</v>
      </c>
    </row>
    <row r="12" spans="1:11" x14ac:dyDescent="0.3">
      <c r="A12" s="2">
        <v>4.9913043478260866</v>
      </c>
      <c r="D12" s="4" t="s">
        <v>32</v>
      </c>
      <c r="E12">
        <v>12</v>
      </c>
      <c r="G12" s="4" t="s">
        <v>32</v>
      </c>
      <c r="H12" s="2">
        <v>43.833333333333336</v>
      </c>
      <c r="J12" s="4" t="s">
        <v>32</v>
      </c>
      <c r="K12" s="2">
        <v>4.333333333333333</v>
      </c>
    </row>
    <row r="13" spans="1:11" x14ac:dyDescent="0.3">
      <c r="D13" s="4" t="s">
        <v>33</v>
      </c>
      <c r="E13">
        <v>16</v>
      </c>
      <c r="G13" s="4" t="s">
        <v>33</v>
      </c>
      <c r="H13" s="2">
        <v>30.9375</v>
      </c>
      <c r="J13" s="4" t="s">
        <v>33</v>
      </c>
      <c r="K13" s="2">
        <v>7</v>
      </c>
    </row>
    <row r="14" spans="1:11" x14ac:dyDescent="0.3">
      <c r="D14" s="4" t="s">
        <v>34</v>
      </c>
      <c r="E14">
        <v>17</v>
      </c>
      <c r="G14" s="4" t="s">
        <v>34</v>
      </c>
      <c r="H14" s="2">
        <v>34.941176470588232</v>
      </c>
      <c r="J14" s="4" t="s">
        <v>34</v>
      </c>
      <c r="K14" s="2">
        <v>7.666666666666667</v>
      </c>
    </row>
    <row r="15" spans="1:11" x14ac:dyDescent="0.3">
      <c r="D15" s="4" t="s">
        <v>35</v>
      </c>
      <c r="E15">
        <v>17</v>
      </c>
      <c r="G15" s="4" t="s">
        <v>35</v>
      </c>
      <c r="H15" s="2">
        <v>30.294117647058822</v>
      </c>
      <c r="J15" s="4" t="s">
        <v>35</v>
      </c>
      <c r="K15" s="2">
        <v>4.5</v>
      </c>
    </row>
    <row r="16" spans="1:11" x14ac:dyDescent="0.3">
      <c r="D16" s="4" t="s">
        <v>36</v>
      </c>
      <c r="E16">
        <v>14</v>
      </c>
      <c r="G16" s="4" t="s">
        <v>36</v>
      </c>
      <c r="H16" s="2">
        <v>32.428571428571431</v>
      </c>
      <c r="J16" s="4" t="s">
        <v>36</v>
      </c>
      <c r="K16" s="2">
        <v>4</v>
      </c>
    </row>
    <row r="17" spans="4:11" x14ac:dyDescent="0.3">
      <c r="D17" s="4" t="s">
        <v>37</v>
      </c>
      <c r="E17">
        <v>20</v>
      </c>
      <c r="G17" s="4" t="s">
        <v>37</v>
      </c>
      <c r="H17" s="2">
        <v>31.1</v>
      </c>
      <c r="J17" s="4" t="s">
        <v>37</v>
      </c>
      <c r="K17" s="2">
        <v>5.25</v>
      </c>
    </row>
    <row r="18" spans="4:11" x14ac:dyDescent="0.3">
      <c r="D18" s="4" t="s">
        <v>38</v>
      </c>
      <c r="E18">
        <v>15</v>
      </c>
      <c r="G18" s="4" t="s">
        <v>38</v>
      </c>
      <c r="H18" s="2">
        <v>34.333333333333336</v>
      </c>
      <c r="J18" s="4" t="s">
        <v>38</v>
      </c>
      <c r="K18" s="2">
        <v>3.5</v>
      </c>
    </row>
    <row r="19" spans="4:11" x14ac:dyDescent="0.3">
      <c r="D19" s="4" t="s">
        <v>39</v>
      </c>
      <c r="E19">
        <v>15</v>
      </c>
      <c r="G19" s="4" t="s">
        <v>39</v>
      </c>
      <c r="H19" s="2">
        <v>28.6</v>
      </c>
      <c r="J19" s="4" t="s">
        <v>39</v>
      </c>
      <c r="K19" s="2">
        <v>8.3333333333333339</v>
      </c>
    </row>
    <row r="20" spans="4:11" x14ac:dyDescent="0.3">
      <c r="D20" s="4" t="s">
        <v>40</v>
      </c>
      <c r="E20">
        <v>14</v>
      </c>
      <c r="G20" s="4" t="s">
        <v>40</v>
      </c>
      <c r="H20" s="2">
        <v>32</v>
      </c>
      <c r="J20" s="4" t="s">
        <v>40</v>
      </c>
      <c r="K20" s="2">
        <v>4.5</v>
      </c>
    </row>
    <row r="21" spans="4:11" x14ac:dyDescent="0.3">
      <c r="D21" s="4" t="s">
        <v>41</v>
      </c>
      <c r="E21">
        <v>16</v>
      </c>
      <c r="G21" s="4" t="s">
        <v>41</v>
      </c>
      <c r="H21" s="2">
        <v>37.625</v>
      </c>
      <c r="J21" s="4" t="s">
        <v>41</v>
      </c>
      <c r="K21" s="2">
        <v>5</v>
      </c>
    </row>
    <row r="22" spans="4:11" x14ac:dyDescent="0.3">
      <c r="D22" s="4" t="s">
        <v>42</v>
      </c>
      <c r="E22">
        <v>14</v>
      </c>
      <c r="G22" s="4" t="s">
        <v>42</v>
      </c>
      <c r="H22" s="2">
        <v>37.785714285714285</v>
      </c>
      <c r="J22" s="4" t="s">
        <v>42</v>
      </c>
      <c r="K22" s="2">
        <v>1</v>
      </c>
    </row>
    <row r="23" spans="4:11" x14ac:dyDescent="0.3">
      <c r="D23" s="4" t="s">
        <v>43</v>
      </c>
      <c r="E23">
        <v>16</v>
      </c>
      <c r="G23" s="4" t="s">
        <v>43</v>
      </c>
      <c r="H23" s="2">
        <v>36.375</v>
      </c>
      <c r="J23" s="4" t="s">
        <v>43</v>
      </c>
      <c r="K23" s="2">
        <v>5.6</v>
      </c>
    </row>
    <row r="24" spans="4:11" x14ac:dyDescent="0.3">
      <c r="D24" s="4" t="s">
        <v>44</v>
      </c>
      <c r="E24">
        <v>14</v>
      </c>
      <c r="G24" s="4" t="s">
        <v>44</v>
      </c>
      <c r="H24" s="2">
        <v>38.857142857142854</v>
      </c>
      <c r="J24" s="4" t="s">
        <v>44</v>
      </c>
      <c r="K24" s="2">
        <v>3</v>
      </c>
    </row>
    <row r="25" spans="4:11" x14ac:dyDescent="0.3">
      <c r="D25" s="4" t="s">
        <v>45</v>
      </c>
      <c r="E25">
        <v>13</v>
      </c>
      <c r="G25" s="4" t="s">
        <v>45</v>
      </c>
      <c r="H25" s="2">
        <v>37</v>
      </c>
      <c r="J25" s="4" t="s">
        <v>45</v>
      </c>
      <c r="K25" s="2">
        <v>5.666666666666667</v>
      </c>
    </row>
    <row r="26" spans="4:11" x14ac:dyDescent="0.3">
      <c r="D26" s="4" t="s">
        <v>46</v>
      </c>
      <c r="E26">
        <v>19</v>
      </c>
      <c r="G26" s="4" t="s">
        <v>46</v>
      </c>
      <c r="H26" s="2">
        <v>33</v>
      </c>
      <c r="J26" s="4" t="s">
        <v>46</v>
      </c>
      <c r="K26" s="2">
        <v>5.5</v>
      </c>
    </row>
    <row r="27" spans="4:11" x14ac:dyDescent="0.3">
      <c r="D27" s="4" t="s">
        <v>47</v>
      </c>
      <c r="E27">
        <v>15</v>
      </c>
      <c r="G27" s="4" t="s">
        <v>47</v>
      </c>
      <c r="H27" s="2">
        <v>33.333333333333336</v>
      </c>
      <c r="J27" s="4" t="s">
        <v>47</v>
      </c>
      <c r="K27" s="2">
        <v>5.2</v>
      </c>
    </row>
    <row r="28" spans="4:11" x14ac:dyDescent="0.3">
      <c r="D28" s="4" t="s">
        <v>48</v>
      </c>
      <c r="E28">
        <v>18</v>
      </c>
      <c r="G28" s="4" t="s">
        <v>48</v>
      </c>
      <c r="H28" s="2">
        <v>36.944444444444443</v>
      </c>
      <c r="J28" s="4" t="s">
        <v>48</v>
      </c>
      <c r="K28" s="2">
        <v>4</v>
      </c>
    </row>
    <row r="29" spans="4:11" x14ac:dyDescent="0.3">
      <c r="D29" s="4" t="s">
        <v>49</v>
      </c>
      <c r="E29">
        <v>14</v>
      </c>
      <c r="G29" s="4" t="s">
        <v>49</v>
      </c>
      <c r="H29" s="2">
        <v>34.357142857142854</v>
      </c>
      <c r="J29" s="4" t="s">
        <v>49</v>
      </c>
      <c r="K29" s="2">
        <v>4.75</v>
      </c>
    </row>
    <row r="30" spans="4:11" x14ac:dyDescent="0.3">
      <c r="D30" s="4" t="s">
        <v>50</v>
      </c>
      <c r="E30">
        <v>16</v>
      </c>
      <c r="G30" s="4" t="s">
        <v>50</v>
      </c>
      <c r="H30" s="2">
        <v>39</v>
      </c>
      <c r="J30" s="4" t="s">
        <v>50</v>
      </c>
      <c r="K30" s="2">
        <v>4.75</v>
      </c>
    </row>
    <row r="31" spans="4:11" x14ac:dyDescent="0.3">
      <c r="D31" s="4" t="s">
        <v>51</v>
      </c>
      <c r="E31">
        <v>13</v>
      </c>
      <c r="G31" s="4" t="s">
        <v>51</v>
      </c>
      <c r="H31" s="2">
        <v>32</v>
      </c>
      <c r="J31" s="4" t="s">
        <v>51</v>
      </c>
      <c r="K31" s="2">
        <v>6.5</v>
      </c>
    </row>
    <row r="32" spans="4:11" x14ac:dyDescent="0.3">
      <c r="D32" s="4" t="s">
        <v>52</v>
      </c>
      <c r="E32">
        <v>12</v>
      </c>
      <c r="G32" s="4" t="s">
        <v>52</v>
      </c>
      <c r="H32" s="2">
        <v>33.5</v>
      </c>
      <c r="J32" s="4" t="s">
        <v>52</v>
      </c>
      <c r="K32" s="2">
        <v>5</v>
      </c>
    </row>
    <row r="33" spans="1:11" x14ac:dyDescent="0.3">
      <c r="D33" s="4" t="s">
        <v>53</v>
      </c>
      <c r="E33">
        <v>19</v>
      </c>
      <c r="G33" s="4" t="s">
        <v>53</v>
      </c>
      <c r="H33" s="2">
        <v>37.89473684210526</v>
      </c>
      <c r="J33" s="4" t="s">
        <v>53</v>
      </c>
      <c r="K33" s="2">
        <v>6.333333333333333</v>
      </c>
    </row>
    <row r="34" spans="1:11" x14ac:dyDescent="0.3">
      <c r="D34" s="4" t="s">
        <v>54</v>
      </c>
      <c r="E34">
        <v>19</v>
      </c>
      <c r="G34" s="4" t="s">
        <v>54</v>
      </c>
      <c r="H34" s="2">
        <v>32</v>
      </c>
      <c r="J34" s="4" t="s">
        <v>54</v>
      </c>
      <c r="K34" s="2">
        <v>6</v>
      </c>
    </row>
    <row r="35" spans="1:11" x14ac:dyDescent="0.3">
      <c r="D35" s="4" t="s">
        <v>55</v>
      </c>
      <c r="E35">
        <v>15</v>
      </c>
      <c r="G35" s="4" t="s">
        <v>55</v>
      </c>
      <c r="H35" s="2">
        <v>35.133333333333333</v>
      </c>
      <c r="J35" s="4" t="s">
        <v>55</v>
      </c>
      <c r="K35" s="2">
        <v>8.1666666666666661</v>
      </c>
    </row>
    <row r="36" spans="1:11" x14ac:dyDescent="0.3">
      <c r="D36" s="4" t="s">
        <v>5</v>
      </c>
      <c r="E36">
        <v>464</v>
      </c>
      <c r="G36" s="4" t="s">
        <v>5</v>
      </c>
      <c r="H36" s="2">
        <v>34.719827586206897</v>
      </c>
      <c r="J36" s="4" t="s">
        <v>5</v>
      </c>
      <c r="K36" s="2">
        <v>4.9913043478260866</v>
      </c>
    </row>
    <row r="43" spans="1:11" x14ac:dyDescent="0.3">
      <c r="A43" s="1" t="s">
        <v>4</v>
      </c>
      <c r="B43" t="s">
        <v>56</v>
      </c>
      <c r="C43" t="s">
        <v>69</v>
      </c>
    </row>
    <row r="44" spans="1:11" x14ac:dyDescent="0.3">
      <c r="A44" s="4" t="s">
        <v>67</v>
      </c>
      <c r="B44" s="8">
        <v>236</v>
      </c>
      <c r="C44" s="17">
        <v>0.50862068965517238</v>
      </c>
    </row>
    <row r="45" spans="1:11" x14ac:dyDescent="0.3">
      <c r="A45" s="4" t="s">
        <v>68</v>
      </c>
      <c r="B45" s="8">
        <v>228</v>
      </c>
      <c r="C45" s="17">
        <v>0.49137931034482757</v>
      </c>
    </row>
    <row r="46" spans="1:11" x14ac:dyDescent="0.3">
      <c r="A46" s="4" t="s">
        <v>5</v>
      </c>
      <c r="B46" s="8">
        <v>464</v>
      </c>
      <c r="C46" s="17">
        <v>1</v>
      </c>
    </row>
    <row r="51" spans="1:4" x14ac:dyDescent="0.3">
      <c r="A51" s="14" t="s">
        <v>12</v>
      </c>
      <c r="B51" s="15" t="s">
        <v>13</v>
      </c>
      <c r="C51" s="15" t="s">
        <v>15</v>
      </c>
      <c r="D51" s="16" t="s">
        <v>14</v>
      </c>
    </row>
    <row r="52" spans="1:4" x14ac:dyDescent="0.3">
      <c r="A52" s="12" t="str">
        <f>A45</f>
        <v>Not Admitted</v>
      </c>
      <c r="B52" s="10">
        <f>B45</f>
        <v>228</v>
      </c>
      <c r="C52" s="11">
        <f>C45</f>
        <v>0.49137931034482757</v>
      </c>
      <c r="D52" s="9"/>
    </row>
    <row r="53" spans="1:4" x14ac:dyDescent="0.3">
      <c r="A53" s="12" t="str">
        <f>A44</f>
        <v>Admitted</v>
      </c>
      <c r="B53" s="10">
        <f>B44</f>
        <v>236</v>
      </c>
      <c r="C53" s="11">
        <f>C44</f>
        <v>0.50862068965517238</v>
      </c>
      <c r="D53" s="9"/>
    </row>
    <row r="56" spans="1:4" x14ac:dyDescent="0.3">
      <c r="A56" t="s">
        <v>70</v>
      </c>
    </row>
    <row r="57" spans="1:4" x14ac:dyDescent="0.3">
      <c r="A57" s="1" t="s">
        <v>4</v>
      </c>
      <c r="B57" t="s">
        <v>24</v>
      </c>
    </row>
    <row r="58" spans="1:4" x14ac:dyDescent="0.3">
      <c r="A58" s="4" t="s">
        <v>16</v>
      </c>
      <c r="B58" s="8">
        <v>61</v>
      </c>
    </row>
    <row r="59" spans="1:4" x14ac:dyDescent="0.3">
      <c r="A59" s="4" t="s">
        <v>17</v>
      </c>
      <c r="B59" s="8">
        <v>53</v>
      </c>
    </row>
    <row r="60" spans="1:4" x14ac:dyDescent="0.3">
      <c r="A60" s="4" t="s">
        <v>18</v>
      </c>
      <c r="B60" s="8">
        <v>71</v>
      </c>
    </row>
    <row r="61" spans="1:4" x14ac:dyDescent="0.3">
      <c r="A61" s="4" t="s">
        <v>19</v>
      </c>
      <c r="B61" s="8">
        <v>59</v>
      </c>
    </row>
    <row r="62" spans="1:4" x14ac:dyDescent="0.3">
      <c r="A62" s="4" t="s">
        <v>20</v>
      </c>
      <c r="B62" s="8">
        <v>63</v>
      </c>
    </row>
    <row r="63" spans="1:4" x14ac:dyDescent="0.3">
      <c r="A63" s="4" t="s">
        <v>21</v>
      </c>
      <c r="B63" s="8">
        <v>63</v>
      </c>
    </row>
    <row r="64" spans="1:4" x14ac:dyDescent="0.3">
      <c r="A64" s="4" t="s">
        <v>22</v>
      </c>
      <c r="B64" s="8">
        <v>37</v>
      </c>
    </row>
    <row r="65" spans="1:2" x14ac:dyDescent="0.3">
      <c r="A65" s="4" t="s">
        <v>23</v>
      </c>
      <c r="B65" s="8">
        <v>57</v>
      </c>
    </row>
    <row r="66" spans="1:2" x14ac:dyDescent="0.3">
      <c r="A66" s="4" t="s">
        <v>5</v>
      </c>
      <c r="B66" s="8">
        <v>464</v>
      </c>
    </row>
    <row r="72" spans="1:2" x14ac:dyDescent="0.3">
      <c r="A72" t="s">
        <v>72</v>
      </c>
    </row>
    <row r="73" spans="1:2" x14ac:dyDescent="0.3">
      <c r="A73" s="1" t="s">
        <v>4</v>
      </c>
      <c r="B73" t="s">
        <v>71</v>
      </c>
    </row>
    <row r="74" spans="1:2" x14ac:dyDescent="0.3">
      <c r="A74" s="4" t="s">
        <v>57</v>
      </c>
      <c r="B74" s="8">
        <v>267</v>
      </c>
    </row>
    <row r="75" spans="1:2" x14ac:dyDescent="0.3">
      <c r="A75" s="4" t="s">
        <v>58</v>
      </c>
      <c r="B75" s="8">
        <v>197</v>
      </c>
    </row>
    <row r="76" spans="1:2" x14ac:dyDescent="0.3">
      <c r="A76" s="4" t="s">
        <v>5</v>
      </c>
      <c r="B76" s="8">
        <v>464</v>
      </c>
    </row>
    <row r="80" spans="1:2" x14ac:dyDescent="0.3">
      <c r="A80" t="s">
        <v>76</v>
      </c>
    </row>
    <row r="81" spans="1:4" x14ac:dyDescent="0.3">
      <c r="A81" s="1" t="s">
        <v>4</v>
      </c>
      <c r="B81" t="s">
        <v>75</v>
      </c>
    </row>
    <row r="82" spans="1:4" x14ac:dyDescent="0.3">
      <c r="A82" s="4" t="s">
        <v>73</v>
      </c>
      <c r="B82" s="8">
        <v>228</v>
      </c>
    </row>
    <row r="83" spans="1:4" x14ac:dyDescent="0.3">
      <c r="A83" s="4" t="s">
        <v>74</v>
      </c>
      <c r="B83" s="8">
        <v>236</v>
      </c>
    </row>
    <row r="84" spans="1:4" x14ac:dyDescent="0.3">
      <c r="A84" s="4" t="s">
        <v>5</v>
      </c>
      <c r="B84" s="8">
        <v>464</v>
      </c>
    </row>
    <row r="89" spans="1:4" x14ac:dyDescent="0.3">
      <c r="A89" s="1" t="s">
        <v>4</v>
      </c>
      <c r="B89" t="s">
        <v>77</v>
      </c>
      <c r="D89" s="1" t="s">
        <v>4</v>
      </c>
    </row>
    <row r="90" spans="1:4" x14ac:dyDescent="0.3">
      <c r="A90" s="4" t="s">
        <v>66</v>
      </c>
      <c r="B90" s="8">
        <v>3</v>
      </c>
      <c r="D90" s="4" t="s">
        <v>78</v>
      </c>
    </row>
    <row r="91" spans="1:4" x14ac:dyDescent="0.3">
      <c r="A91" s="4" t="s">
        <v>60</v>
      </c>
      <c r="B91" s="8">
        <v>8</v>
      </c>
      <c r="D91" s="4" t="s">
        <v>5</v>
      </c>
    </row>
    <row r="92" spans="1:4" x14ac:dyDescent="0.3">
      <c r="A92" s="4" t="s">
        <v>62</v>
      </c>
      <c r="B92" s="8">
        <v>9</v>
      </c>
    </row>
    <row r="93" spans="1:4" x14ac:dyDescent="0.3">
      <c r="A93" s="4" t="s">
        <v>65</v>
      </c>
      <c r="B93" s="8">
        <v>11</v>
      </c>
    </row>
    <row r="94" spans="1:4" x14ac:dyDescent="0.3">
      <c r="A94" s="4" t="s">
        <v>59</v>
      </c>
      <c r="B94" s="8">
        <v>12</v>
      </c>
    </row>
    <row r="95" spans="1:4" x14ac:dyDescent="0.3">
      <c r="A95" s="4" t="s">
        <v>64</v>
      </c>
      <c r="B95" s="8">
        <v>54</v>
      </c>
    </row>
    <row r="96" spans="1:4" x14ac:dyDescent="0.3">
      <c r="A96" s="4" t="s">
        <v>61</v>
      </c>
      <c r="B96" s="8">
        <v>87</v>
      </c>
    </row>
    <row r="97" spans="1:2" x14ac:dyDescent="0.3">
      <c r="A97" s="4" t="s">
        <v>63</v>
      </c>
      <c r="B97" s="8">
        <v>280</v>
      </c>
    </row>
    <row r="98" spans="1:2" x14ac:dyDescent="0.3">
      <c r="A98" s="4" t="s">
        <v>5</v>
      </c>
      <c r="B98" s="8">
        <v>464</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36339-77A6-4858-94A0-5BB6E023F0F3}">
  <dimension ref="A1:Z33"/>
  <sheetViews>
    <sheetView tabSelected="1" zoomScaleNormal="100" workbookViewId="0">
      <selection activeCell="M36" sqref="M36"/>
    </sheetView>
  </sheetViews>
  <sheetFormatPr defaultRowHeight="14.4" x14ac:dyDescent="0.3"/>
  <sheetData>
    <row r="1" spans="1:26" x14ac:dyDescent="0.3">
      <c r="A1" s="3"/>
      <c r="B1" s="3"/>
      <c r="C1" s="3"/>
      <c r="D1" s="3"/>
      <c r="E1" s="3"/>
      <c r="F1" s="3"/>
      <c r="G1" s="3"/>
      <c r="H1" s="3"/>
      <c r="I1" s="3"/>
      <c r="J1" s="3"/>
      <c r="K1" s="3"/>
      <c r="L1" s="3"/>
      <c r="M1" s="3"/>
      <c r="N1" s="3"/>
      <c r="O1" s="3"/>
      <c r="P1" s="3"/>
      <c r="Q1" s="3"/>
      <c r="R1" s="3"/>
      <c r="S1" s="3"/>
      <c r="T1" s="3"/>
      <c r="U1" s="3"/>
      <c r="V1" s="3"/>
      <c r="W1" s="3"/>
      <c r="X1" s="3"/>
    </row>
    <row r="2" spans="1:26" x14ac:dyDescent="0.3">
      <c r="A2" s="3"/>
      <c r="B2" s="3"/>
      <c r="C2" s="3"/>
      <c r="D2" s="3"/>
      <c r="E2" s="3"/>
      <c r="F2" s="3"/>
      <c r="G2" s="3"/>
      <c r="H2" s="3"/>
      <c r="I2" s="3"/>
      <c r="J2" s="3"/>
      <c r="K2" s="3"/>
      <c r="L2" s="3"/>
      <c r="M2" s="3"/>
      <c r="N2" s="3"/>
      <c r="O2" s="3"/>
      <c r="P2" s="3"/>
      <c r="Q2" s="3"/>
      <c r="R2" s="3"/>
      <c r="S2" s="3"/>
      <c r="T2" s="3"/>
      <c r="U2" s="3"/>
      <c r="V2" s="3"/>
      <c r="W2" s="3"/>
      <c r="X2" s="3"/>
    </row>
    <row r="3" spans="1:26" x14ac:dyDescent="0.3">
      <c r="A3" s="3"/>
      <c r="B3" s="3"/>
      <c r="C3" s="3"/>
      <c r="D3" s="3"/>
      <c r="E3" s="3"/>
      <c r="F3" s="3"/>
      <c r="G3" s="3"/>
      <c r="H3" s="3"/>
      <c r="I3" s="3"/>
      <c r="J3" s="3"/>
      <c r="K3" s="3"/>
      <c r="L3" s="3"/>
      <c r="M3" s="3"/>
      <c r="N3" s="3"/>
      <c r="O3" s="3"/>
      <c r="P3" s="3"/>
      <c r="Q3" s="3"/>
      <c r="R3" s="3"/>
      <c r="S3" s="3"/>
      <c r="T3" s="3"/>
      <c r="U3" s="3"/>
      <c r="V3" s="3"/>
      <c r="W3" s="3"/>
      <c r="X3" s="3"/>
    </row>
    <row r="4" spans="1:26" x14ac:dyDescent="0.3">
      <c r="A4" s="3"/>
      <c r="B4" s="3"/>
      <c r="C4" s="3"/>
      <c r="D4" s="3"/>
      <c r="E4" s="3"/>
      <c r="F4" s="3"/>
      <c r="G4" s="3"/>
      <c r="H4" s="3"/>
      <c r="I4" s="3"/>
      <c r="J4" s="3"/>
      <c r="K4" s="3"/>
      <c r="L4" s="3"/>
      <c r="M4" s="3"/>
      <c r="N4" s="3"/>
      <c r="O4" s="3"/>
      <c r="P4" s="3"/>
      <c r="Q4" s="3"/>
      <c r="R4" s="3"/>
      <c r="S4" s="3"/>
      <c r="T4" s="3"/>
      <c r="U4" s="3"/>
      <c r="V4" s="3"/>
      <c r="W4" s="3"/>
      <c r="X4" s="3"/>
    </row>
    <row r="5" spans="1:26" x14ac:dyDescent="0.3">
      <c r="A5" s="3"/>
      <c r="B5" s="3"/>
      <c r="C5" s="3"/>
      <c r="D5" s="3"/>
      <c r="E5" s="3"/>
      <c r="F5" s="3"/>
      <c r="G5" s="3"/>
      <c r="H5" s="3"/>
      <c r="I5" s="3"/>
      <c r="J5" s="3"/>
      <c r="K5" s="3"/>
      <c r="L5" s="3"/>
      <c r="M5" s="3"/>
      <c r="N5" s="3"/>
      <c r="O5" s="3"/>
      <c r="P5" s="3"/>
      <c r="Q5" s="3"/>
      <c r="R5" s="3"/>
      <c r="S5" s="3"/>
      <c r="T5" s="3"/>
      <c r="U5" s="3"/>
      <c r="V5" s="3"/>
      <c r="W5" s="3"/>
      <c r="X5" s="3"/>
    </row>
    <row r="6" spans="1:26" x14ac:dyDescent="0.3">
      <c r="A6" s="3"/>
      <c r="B6" s="3"/>
      <c r="C6" s="3"/>
      <c r="D6" s="3"/>
      <c r="E6" s="3"/>
      <c r="F6" s="3"/>
      <c r="G6" s="3"/>
      <c r="H6" s="3"/>
      <c r="I6" s="3"/>
      <c r="J6" s="3"/>
      <c r="K6" s="3"/>
      <c r="L6" s="3"/>
      <c r="M6" s="3"/>
      <c r="N6" s="3"/>
      <c r="O6" s="3"/>
      <c r="P6" s="3"/>
      <c r="Q6" s="3"/>
      <c r="R6" s="3"/>
      <c r="S6" s="3"/>
      <c r="T6" s="3"/>
      <c r="U6" s="3"/>
      <c r="V6" s="3"/>
      <c r="W6" s="3"/>
      <c r="X6" s="3"/>
    </row>
    <row r="7" spans="1:26" x14ac:dyDescent="0.3">
      <c r="A7" s="3"/>
      <c r="B7" s="3"/>
      <c r="C7" s="3"/>
      <c r="D7" s="3"/>
      <c r="E7" s="3"/>
      <c r="F7" s="3"/>
      <c r="G7" s="3"/>
      <c r="H7" s="3"/>
      <c r="I7" s="3"/>
      <c r="J7" s="3"/>
      <c r="K7" s="3"/>
      <c r="L7" s="3"/>
      <c r="M7" s="3"/>
      <c r="N7" s="3"/>
      <c r="O7" s="3"/>
      <c r="P7" s="3"/>
      <c r="Q7" s="3"/>
      <c r="R7" s="3"/>
      <c r="S7" s="3"/>
      <c r="T7" s="3"/>
      <c r="U7" s="3"/>
      <c r="V7" s="3"/>
      <c r="W7" s="3"/>
      <c r="X7" s="3"/>
    </row>
    <row r="8" spans="1:26" x14ac:dyDescent="0.3">
      <c r="A8" s="3"/>
      <c r="B8" s="3"/>
      <c r="C8" s="3"/>
      <c r="D8" s="3"/>
      <c r="E8" s="3"/>
      <c r="F8" s="3"/>
      <c r="G8" s="3"/>
      <c r="H8" s="3"/>
      <c r="I8" s="3"/>
      <c r="J8" s="3"/>
      <c r="K8" s="3"/>
      <c r="L8" s="3"/>
      <c r="M8" s="3"/>
      <c r="N8" s="3"/>
      <c r="O8" s="3"/>
      <c r="P8" s="3"/>
      <c r="Q8" s="3"/>
      <c r="R8" s="3"/>
      <c r="S8" s="3"/>
      <c r="T8" s="3"/>
      <c r="U8" s="3"/>
      <c r="V8" s="3"/>
      <c r="W8" s="3"/>
      <c r="X8" s="3"/>
    </row>
    <row r="9" spans="1:26" x14ac:dyDescent="0.3">
      <c r="A9" s="3"/>
      <c r="B9" s="3"/>
      <c r="C9" s="3"/>
      <c r="D9" s="3"/>
      <c r="E9" s="3"/>
      <c r="F9" s="3"/>
      <c r="G9" s="3"/>
      <c r="H9" s="3"/>
      <c r="I9" s="3"/>
      <c r="J9" s="3"/>
      <c r="K9" s="3"/>
      <c r="L9" s="3"/>
      <c r="M9" s="3"/>
      <c r="N9" s="3"/>
      <c r="O9" s="3"/>
      <c r="P9" s="3"/>
      <c r="Q9" s="3"/>
      <c r="R9" s="3"/>
      <c r="S9" s="3"/>
      <c r="T9" s="3"/>
      <c r="U9" s="3"/>
      <c r="V9" s="3"/>
      <c r="W9" s="18"/>
      <c r="X9" s="20"/>
      <c r="Y9" s="13"/>
      <c r="Z9" s="6"/>
    </row>
    <row r="10" spans="1:26" x14ac:dyDescent="0.3">
      <c r="A10" s="3"/>
      <c r="B10" s="3"/>
      <c r="C10" s="3"/>
      <c r="D10" s="3"/>
      <c r="E10" s="3"/>
      <c r="F10" s="3"/>
      <c r="G10" s="3"/>
      <c r="H10" s="3"/>
      <c r="I10" s="3"/>
      <c r="J10" s="3"/>
      <c r="K10" s="3"/>
      <c r="L10" s="3"/>
      <c r="M10" s="3"/>
      <c r="N10" s="3"/>
      <c r="O10" s="3"/>
      <c r="P10" s="3"/>
      <c r="Q10" s="3"/>
      <c r="R10" s="3"/>
      <c r="S10" s="3"/>
      <c r="T10" s="3"/>
      <c r="U10" s="3"/>
      <c r="V10" s="3"/>
      <c r="W10" s="19"/>
      <c r="X10" s="21"/>
      <c r="Y10" s="11"/>
      <c r="Z10" s="9"/>
    </row>
    <row r="11" spans="1:26" x14ac:dyDescent="0.3">
      <c r="A11" s="3"/>
      <c r="B11" s="3"/>
      <c r="C11" s="3"/>
      <c r="D11" s="3"/>
      <c r="E11" s="3"/>
      <c r="F11" s="3"/>
      <c r="G11" s="3"/>
      <c r="H11" s="3"/>
      <c r="I11" s="3"/>
      <c r="J11" s="3"/>
      <c r="K11" s="3"/>
      <c r="L11" s="3"/>
      <c r="M11" s="3"/>
      <c r="N11" s="3"/>
      <c r="O11" s="3"/>
      <c r="P11" s="3"/>
      <c r="Q11" s="3"/>
      <c r="R11" s="3"/>
      <c r="S11" s="3"/>
      <c r="T11" s="3"/>
      <c r="U11" s="3"/>
      <c r="V11" s="3"/>
      <c r="W11" s="19"/>
      <c r="X11" s="21"/>
      <c r="Y11" s="11"/>
      <c r="Z11" s="9"/>
    </row>
    <row r="12" spans="1:26" x14ac:dyDescent="0.3">
      <c r="A12" s="3"/>
      <c r="B12" s="3"/>
      <c r="C12" s="3"/>
      <c r="D12" s="3"/>
      <c r="E12" s="3"/>
      <c r="F12" s="3"/>
      <c r="G12" s="3"/>
      <c r="H12" s="3"/>
      <c r="I12" s="3"/>
      <c r="J12" s="3"/>
      <c r="K12" s="3"/>
      <c r="L12" s="3"/>
      <c r="M12" s="3"/>
      <c r="N12" s="3"/>
      <c r="O12" s="3"/>
      <c r="P12" s="3"/>
      <c r="Q12" s="3"/>
      <c r="R12" s="3"/>
      <c r="S12" s="3"/>
      <c r="T12" s="3"/>
      <c r="U12" s="3"/>
      <c r="V12" s="3"/>
      <c r="W12" s="3"/>
      <c r="X12" s="3"/>
    </row>
    <row r="13" spans="1:26" x14ac:dyDescent="0.3">
      <c r="A13" s="3"/>
      <c r="B13" s="3"/>
      <c r="C13" s="3"/>
      <c r="D13" s="3"/>
      <c r="E13" s="3"/>
      <c r="F13" s="3"/>
      <c r="G13" s="3"/>
      <c r="H13" s="3"/>
      <c r="I13" s="3"/>
      <c r="J13" s="3"/>
      <c r="K13" s="3"/>
      <c r="L13" s="3"/>
      <c r="M13" s="3"/>
      <c r="N13" s="3"/>
      <c r="O13" s="3"/>
      <c r="P13" s="3"/>
      <c r="Q13" s="3"/>
      <c r="R13" s="3"/>
      <c r="S13" s="3"/>
      <c r="T13" s="3"/>
      <c r="U13" s="3"/>
      <c r="V13" s="3"/>
      <c r="W13" s="3"/>
      <c r="X13" s="3"/>
    </row>
    <row r="14" spans="1:26" x14ac:dyDescent="0.3">
      <c r="A14" s="3"/>
      <c r="B14" s="3"/>
      <c r="C14" s="3"/>
      <c r="D14" s="3"/>
      <c r="E14" s="3"/>
      <c r="F14" s="3"/>
      <c r="G14" s="3"/>
      <c r="H14" s="3"/>
      <c r="I14" s="3"/>
      <c r="J14" s="3"/>
      <c r="K14" s="3"/>
      <c r="L14" s="3"/>
      <c r="M14" s="3"/>
      <c r="N14" s="3"/>
      <c r="O14" s="3"/>
      <c r="P14" s="3"/>
      <c r="Q14" s="3"/>
      <c r="R14" s="3"/>
      <c r="S14" s="3"/>
      <c r="T14" s="3"/>
      <c r="U14" s="3"/>
      <c r="V14" s="3"/>
      <c r="W14" s="3"/>
      <c r="X14" s="3"/>
    </row>
    <row r="15" spans="1:26" x14ac:dyDescent="0.3">
      <c r="A15" s="3"/>
      <c r="B15" s="3"/>
      <c r="C15" s="3"/>
      <c r="D15" s="3"/>
      <c r="E15" s="3"/>
      <c r="F15" s="3"/>
      <c r="G15" s="3"/>
      <c r="H15" s="3"/>
      <c r="I15" s="3"/>
      <c r="J15" s="3"/>
      <c r="K15" s="3"/>
      <c r="L15" s="3"/>
      <c r="M15" s="3"/>
      <c r="N15" s="3"/>
      <c r="O15" s="3"/>
      <c r="P15" s="3"/>
      <c r="Q15" s="3"/>
      <c r="R15" s="3"/>
      <c r="S15" s="3"/>
      <c r="T15" s="3"/>
      <c r="U15" s="3"/>
      <c r="V15" s="3"/>
      <c r="W15" s="3"/>
      <c r="X15" s="3"/>
    </row>
    <row r="16" spans="1:26" x14ac:dyDescent="0.3">
      <c r="A16" s="3"/>
      <c r="B16" s="3"/>
      <c r="C16" s="3"/>
      <c r="D16" s="3"/>
      <c r="E16" s="3"/>
      <c r="F16" s="3"/>
      <c r="G16" s="3"/>
      <c r="H16" s="3"/>
      <c r="I16" s="3"/>
      <c r="J16" s="3"/>
      <c r="K16" s="3"/>
      <c r="L16" s="3"/>
      <c r="M16" s="3"/>
      <c r="N16" s="3"/>
      <c r="O16" s="3"/>
      <c r="P16" s="3"/>
      <c r="Q16" s="3"/>
      <c r="R16" s="3"/>
      <c r="S16" s="3"/>
      <c r="T16" s="3"/>
      <c r="U16" s="3"/>
      <c r="V16" s="3"/>
      <c r="W16" s="3"/>
      <c r="X16" s="3"/>
    </row>
    <row r="17" spans="1:24" x14ac:dyDescent="0.3">
      <c r="A17" s="3"/>
      <c r="B17" s="3"/>
      <c r="C17" s="3"/>
      <c r="D17" s="3"/>
      <c r="E17" s="3"/>
      <c r="F17" s="3"/>
      <c r="G17" s="3"/>
      <c r="H17" s="3"/>
      <c r="I17" s="3"/>
      <c r="J17" s="3"/>
      <c r="K17" s="3"/>
      <c r="L17" s="3"/>
      <c r="M17" s="3"/>
      <c r="N17" s="3"/>
      <c r="O17" s="3"/>
      <c r="P17" s="3"/>
      <c r="Q17" s="3"/>
      <c r="R17" s="3"/>
      <c r="S17" s="3"/>
      <c r="T17" s="3"/>
      <c r="U17" s="3"/>
      <c r="V17" s="3"/>
      <c r="W17" s="3"/>
      <c r="X17" s="3"/>
    </row>
    <row r="18" spans="1:24" x14ac:dyDescent="0.3">
      <c r="A18" s="3"/>
      <c r="B18" s="3"/>
      <c r="C18" s="3"/>
      <c r="D18" s="3"/>
      <c r="E18" s="3"/>
      <c r="F18" s="3"/>
      <c r="G18" s="3"/>
      <c r="H18" s="3"/>
      <c r="I18" s="3"/>
      <c r="J18" s="3"/>
      <c r="K18" s="3"/>
      <c r="L18" s="3"/>
      <c r="M18" s="3"/>
      <c r="N18" s="3"/>
      <c r="O18" s="3"/>
      <c r="P18" s="3"/>
      <c r="Q18" s="3"/>
      <c r="R18" s="3"/>
      <c r="S18" s="3"/>
      <c r="T18" s="3"/>
      <c r="U18" s="3"/>
      <c r="V18" s="3"/>
      <c r="W18" s="3"/>
      <c r="X18" s="3"/>
    </row>
    <row r="19" spans="1:24" x14ac:dyDescent="0.3">
      <c r="A19" s="3"/>
      <c r="B19" s="3"/>
      <c r="C19" s="3"/>
      <c r="D19" s="3"/>
      <c r="E19" s="3"/>
      <c r="F19" s="3"/>
      <c r="G19" s="3"/>
      <c r="H19" s="3"/>
      <c r="I19" s="3"/>
      <c r="J19" s="3"/>
      <c r="K19" s="3"/>
      <c r="L19" s="3"/>
      <c r="M19" s="3"/>
      <c r="N19" s="3"/>
      <c r="O19" s="3"/>
      <c r="P19" s="3"/>
      <c r="Q19" s="3"/>
      <c r="R19" s="3"/>
      <c r="S19" s="3"/>
      <c r="T19" s="3"/>
      <c r="U19" s="3"/>
      <c r="V19" s="3"/>
      <c r="W19" s="3"/>
      <c r="X19" s="3"/>
    </row>
    <row r="20" spans="1:24" x14ac:dyDescent="0.3">
      <c r="A20" s="3"/>
      <c r="B20" s="3"/>
      <c r="C20" s="3"/>
      <c r="D20" s="3"/>
      <c r="E20" s="3"/>
      <c r="F20" s="3"/>
      <c r="G20" s="3"/>
      <c r="H20" s="3"/>
      <c r="I20" s="3"/>
      <c r="J20" s="3"/>
      <c r="K20" s="3"/>
      <c r="L20" s="3"/>
      <c r="M20" s="3"/>
      <c r="N20" s="3"/>
      <c r="O20" s="3"/>
      <c r="P20" s="3"/>
      <c r="Q20" s="3"/>
      <c r="R20" s="3"/>
      <c r="S20" s="3"/>
      <c r="T20" s="3"/>
      <c r="U20" s="3"/>
      <c r="V20" s="3"/>
      <c r="W20" s="3"/>
      <c r="X20" s="3"/>
    </row>
    <row r="21" spans="1:24" x14ac:dyDescent="0.3">
      <c r="A21" s="3"/>
      <c r="B21" s="3"/>
      <c r="C21" s="3"/>
      <c r="D21" s="3"/>
      <c r="E21" s="3"/>
      <c r="F21" s="3"/>
      <c r="G21" s="3"/>
      <c r="H21" s="3"/>
      <c r="I21" s="3"/>
      <c r="J21" s="3"/>
      <c r="K21" s="3"/>
      <c r="L21" s="3"/>
      <c r="M21" s="3"/>
      <c r="N21" s="3"/>
      <c r="O21" s="3"/>
      <c r="P21" s="3"/>
      <c r="Q21" s="3"/>
      <c r="R21" s="3"/>
      <c r="S21" s="3"/>
      <c r="T21" s="3"/>
      <c r="U21" s="3"/>
      <c r="V21" s="3"/>
      <c r="W21" s="3"/>
      <c r="X21" s="3"/>
    </row>
    <row r="22" spans="1:24" x14ac:dyDescent="0.3">
      <c r="A22" s="3"/>
      <c r="B22" s="3"/>
      <c r="C22" s="3"/>
      <c r="D22" s="3"/>
      <c r="E22" s="3"/>
      <c r="F22" s="3"/>
      <c r="G22" s="3"/>
      <c r="H22" s="3"/>
      <c r="I22" s="3"/>
      <c r="J22" s="3"/>
      <c r="K22" s="3"/>
      <c r="L22" s="3"/>
      <c r="M22" s="3"/>
      <c r="N22" s="3"/>
      <c r="O22" s="3"/>
      <c r="P22" s="3"/>
      <c r="Q22" s="3"/>
      <c r="R22" s="3"/>
      <c r="S22" s="3"/>
      <c r="T22" s="3"/>
      <c r="U22" s="3"/>
      <c r="V22" s="3"/>
      <c r="W22" s="3"/>
      <c r="X22" s="3"/>
    </row>
    <row r="23" spans="1:24" x14ac:dyDescent="0.3">
      <c r="A23" s="3"/>
      <c r="B23" s="3"/>
      <c r="C23" s="3"/>
      <c r="D23" s="3"/>
      <c r="E23" s="3"/>
      <c r="F23" s="3"/>
      <c r="G23" s="3"/>
      <c r="H23" s="3"/>
      <c r="I23" s="3"/>
      <c r="J23" s="3"/>
      <c r="K23" s="3"/>
      <c r="L23" s="3"/>
      <c r="M23" s="3"/>
      <c r="N23" s="3"/>
      <c r="O23" s="3"/>
      <c r="P23" s="3"/>
      <c r="Q23" s="3"/>
      <c r="R23" s="3"/>
      <c r="S23" s="3"/>
      <c r="T23" s="3"/>
      <c r="U23" s="3"/>
      <c r="V23" s="3"/>
      <c r="W23" s="3"/>
      <c r="X23" s="3"/>
    </row>
    <row r="24" spans="1:24" x14ac:dyDescent="0.3">
      <c r="A24" s="3"/>
      <c r="B24" s="3"/>
      <c r="C24" s="3"/>
      <c r="D24" s="3"/>
      <c r="E24" s="3"/>
      <c r="F24" s="3"/>
      <c r="G24" s="3"/>
      <c r="H24" s="3"/>
      <c r="I24" s="3"/>
      <c r="J24" s="3"/>
      <c r="K24" s="3"/>
      <c r="L24" s="3"/>
      <c r="M24" s="3"/>
      <c r="N24" s="3"/>
      <c r="O24" s="3"/>
      <c r="P24" s="3"/>
      <c r="Q24" s="3"/>
      <c r="R24" s="3"/>
      <c r="S24" s="3"/>
      <c r="T24" s="3"/>
      <c r="U24" s="3"/>
      <c r="V24" s="3"/>
      <c r="W24" s="3"/>
      <c r="X24" s="3"/>
    </row>
    <row r="25" spans="1:24" x14ac:dyDescent="0.3">
      <c r="A25" s="3"/>
      <c r="B25" s="3"/>
      <c r="C25" s="3"/>
      <c r="D25" s="3"/>
      <c r="E25" s="3"/>
      <c r="F25" s="3"/>
      <c r="G25" s="3"/>
      <c r="H25" s="3"/>
      <c r="I25" s="3"/>
      <c r="J25" s="3"/>
      <c r="K25" s="3"/>
      <c r="L25" s="3"/>
      <c r="M25" s="3"/>
      <c r="N25" s="3"/>
      <c r="O25" s="3"/>
      <c r="P25" s="3"/>
      <c r="Q25" s="3"/>
      <c r="R25" s="3"/>
      <c r="S25" s="3"/>
      <c r="T25" s="3"/>
      <c r="U25" s="3"/>
      <c r="V25" s="3"/>
      <c r="W25" s="3"/>
      <c r="X25" s="3"/>
    </row>
    <row r="26" spans="1:24" x14ac:dyDescent="0.3">
      <c r="A26" s="3"/>
      <c r="B26" s="3"/>
      <c r="C26" s="3"/>
      <c r="D26" s="3"/>
      <c r="E26" s="3"/>
      <c r="F26" s="3"/>
      <c r="G26" s="3"/>
      <c r="H26" s="3"/>
      <c r="I26" s="3"/>
      <c r="J26" s="3"/>
      <c r="K26" s="3"/>
      <c r="L26" s="3"/>
      <c r="M26" s="3"/>
      <c r="N26" s="3"/>
      <c r="O26" s="3"/>
      <c r="P26" s="3"/>
      <c r="Q26" s="3"/>
      <c r="R26" s="3"/>
      <c r="S26" s="3"/>
      <c r="T26" s="3"/>
      <c r="U26" s="3"/>
      <c r="V26" s="3"/>
      <c r="W26" s="3"/>
      <c r="X26" s="3"/>
    </row>
    <row r="27" spans="1:24" x14ac:dyDescent="0.3">
      <c r="A27" s="3"/>
      <c r="B27" s="3"/>
      <c r="C27" s="3"/>
      <c r="D27" s="3"/>
      <c r="E27" s="3"/>
      <c r="F27" s="3"/>
      <c r="G27" s="3"/>
      <c r="H27" s="3"/>
      <c r="I27" s="3"/>
      <c r="J27" s="3"/>
      <c r="K27" s="3"/>
      <c r="L27" s="3"/>
      <c r="M27" s="3"/>
      <c r="N27" s="3"/>
      <c r="O27" s="3"/>
      <c r="P27" s="3"/>
      <c r="Q27" s="3"/>
      <c r="R27" s="3"/>
      <c r="S27" s="3"/>
      <c r="T27" s="3"/>
      <c r="U27" s="3"/>
      <c r="V27" s="3"/>
      <c r="W27" s="3"/>
      <c r="X27" s="3"/>
    </row>
    <row r="28" spans="1:24" x14ac:dyDescent="0.3">
      <c r="A28" s="3"/>
      <c r="B28" s="3"/>
      <c r="C28" s="3"/>
      <c r="D28" s="3"/>
      <c r="E28" s="3"/>
      <c r="F28" s="3"/>
      <c r="G28" s="3"/>
      <c r="H28" s="3"/>
      <c r="I28" s="3"/>
      <c r="J28" s="3"/>
      <c r="K28" s="3"/>
      <c r="L28" s="3"/>
      <c r="M28" s="3"/>
      <c r="N28" s="3"/>
      <c r="O28" s="3"/>
      <c r="P28" s="3"/>
      <c r="Q28" s="3"/>
      <c r="R28" s="3"/>
      <c r="S28" s="3"/>
      <c r="T28" s="3"/>
      <c r="U28" s="3"/>
      <c r="V28" s="3"/>
      <c r="W28" s="3"/>
      <c r="X28" s="3"/>
    </row>
    <row r="29" spans="1:24" x14ac:dyDescent="0.3">
      <c r="A29" s="3"/>
      <c r="B29" s="3"/>
      <c r="C29" s="3"/>
      <c r="D29" s="3"/>
      <c r="E29" s="3"/>
      <c r="F29" s="3"/>
      <c r="G29" s="3"/>
      <c r="H29" s="3"/>
      <c r="I29" s="3"/>
      <c r="J29" s="3"/>
      <c r="K29" s="3"/>
      <c r="L29" s="3"/>
      <c r="M29" s="3"/>
      <c r="N29" s="3"/>
      <c r="O29" s="3"/>
      <c r="P29" s="3"/>
      <c r="Q29" s="3"/>
      <c r="R29" s="3"/>
      <c r="S29" s="3"/>
      <c r="T29" s="3"/>
      <c r="U29" s="3"/>
      <c r="V29" s="3"/>
      <c r="W29" s="3"/>
      <c r="X29" s="3"/>
    </row>
    <row r="30" spans="1:24" x14ac:dyDescent="0.3">
      <c r="A30" s="3"/>
      <c r="B30" s="3"/>
      <c r="C30" s="3"/>
      <c r="D30" s="3"/>
      <c r="E30" s="3"/>
      <c r="F30" s="3"/>
      <c r="G30" s="3"/>
      <c r="H30" s="3"/>
      <c r="I30" s="3"/>
      <c r="J30" s="3"/>
      <c r="K30" s="3"/>
      <c r="L30" s="3"/>
      <c r="M30" s="3"/>
      <c r="N30" s="3"/>
      <c r="O30" s="3"/>
      <c r="P30" s="3"/>
      <c r="Q30" s="3"/>
      <c r="R30" s="3"/>
      <c r="S30" s="3"/>
      <c r="T30" s="3"/>
      <c r="U30" s="3"/>
      <c r="V30" s="3"/>
      <c r="W30" s="3"/>
      <c r="X30" s="3"/>
    </row>
    <row r="31" spans="1:24" x14ac:dyDescent="0.3">
      <c r="A31" s="3"/>
      <c r="B31" s="3"/>
      <c r="C31" s="3"/>
      <c r="D31" s="3"/>
      <c r="E31" s="3"/>
      <c r="F31" s="3"/>
      <c r="G31" s="3"/>
      <c r="H31" s="3"/>
      <c r="I31" s="3"/>
      <c r="J31" s="3"/>
      <c r="K31" s="3"/>
      <c r="L31" s="3"/>
      <c r="M31" s="3"/>
      <c r="N31" s="3"/>
      <c r="O31" s="3"/>
      <c r="P31" s="3"/>
      <c r="Q31" s="3"/>
      <c r="R31" s="3"/>
      <c r="S31" s="3"/>
      <c r="T31" s="3"/>
      <c r="U31" s="3"/>
      <c r="V31" s="3"/>
      <c r="W31" s="3"/>
      <c r="X31" s="3"/>
    </row>
    <row r="32" spans="1:24" x14ac:dyDescent="0.3">
      <c r="A32" s="3"/>
      <c r="B32" s="3"/>
      <c r="C32" s="3"/>
      <c r="D32" s="3"/>
      <c r="E32" s="3"/>
      <c r="F32" s="3"/>
      <c r="G32" s="3"/>
      <c r="H32" s="3"/>
      <c r="I32" s="3"/>
      <c r="J32" s="3"/>
      <c r="K32" s="3"/>
      <c r="L32" s="3"/>
      <c r="M32" s="3"/>
      <c r="N32" s="3"/>
      <c r="O32" s="3"/>
      <c r="P32" s="3"/>
      <c r="Q32" s="3"/>
      <c r="R32" s="3"/>
      <c r="S32" s="3"/>
      <c r="T32" s="3"/>
      <c r="U32" s="3"/>
      <c r="V32" s="3"/>
      <c r="W32" s="3"/>
      <c r="X32" s="3"/>
    </row>
    <row r="33" spans="1:24" x14ac:dyDescent="0.3">
      <c r="A33" s="3"/>
      <c r="B33" s="3"/>
      <c r="C33" s="3"/>
      <c r="D33" s="3"/>
      <c r="E33" s="3"/>
      <c r="F33" s="3"/>
      <c r="G33" s="3"/>
      <c r="H33" s="3"/>
      <c r="I33" s="3"/>
      <c r="J33" s="3"/>
      <c r="K33" s="3"/>
      <c r="L33" s="3"/>
      <c r="M33" s="3"/>
      <c r="N33" s="3"/>
      <c r="O33" s="3"/>
      <c r="P33" s="3"/>
      <c r="Q33" s="3"/>
      <c r="R33" s="3"/>
      <c r="S33" s="3"/>
      <c r="T33" s="3"/>
      <c r="U33" s="3"/>
      <c r="V33" s="3"/>
      <c r="W33" s="3"/>
      <c r="X33" s="3"/>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C048C-A33F-4507-B586-EDA7BC9938FE}">
  <dimension ref="A1:V21"/>
  <sheetViews>
    <sheetView showGridLines="0" zoomScale="110" zoomScaleNormal="110" workbookViewId="0"/>
  </sheetViews>
  <sheetFormatPr defaultRowHeight="14.4" x14ac:dyDescent="0.3"/>
  <sheetData>
    <row r="1" spans="1:22" x14ac:dyDescent="0.3">
      <c r="A1" s="5"/>
      <c r="B1" s="5"/>
      <c r="C1" s="5"/>
      <c r="D1" s="5"/>
      <c r="E1" s="5"/>
      <c r="F1" s="5"/>
      <c r="G1" s="5"/>
      <c r="H1" s="5"/>
      <c r="I1" s="5"/>
      <c r="J1" s="5"/>
      <c r="K1" s="5"/>
      <c r="L1" s="5"/>
      <c r="M1" s="5"/>
      <c r="N1" s="5"/>
      <c r="O1" s="5"/>
      <c r="P1" s="5"/>
      <c r="Q1" s="5"/>
      <c r="R1" s="5"/>
      <c r="S1" s="5"/>
      <c r="T1" s="5"/>
      <c r="U1" s="5"/>
      <c r="V1" s="5"/>
    </row>
    <row r="2" spans="1:22" x14ac:dyDescent="0.3">
      <c r="A2" s="5"/>
      <c r="B2" s="5"/>
      <c r="C2" s="5"/>
      <c r="D2" s="5"/>
      <c r="E2" s="5"/>
      <c r="F2" s="5"/>
      <c r="G2" s="5"/>
      <c r="H2" s="5"/>
      <c r="I2" s="5"/>
      <c r="J2" s="5"/>
      <c r="K2" s="5"/>
      <c r="L2" s="5"/>
      <c r="M2" s="5"/>
      <c r="N2" s="5"/>
      <c r="O2" s="5"/>
      <c r="P2" s="5"/>
      <c r="Q2" s="5"/>
      <c r="R2" s="5"/>
      <c r="S2" s="5"/>
      <c r="T2" s="5"/>
      <c r="U2" s="5"/>
      <c r="V2" s="5"/>
    </row>
    <row r="3" spans="1:22" x14ac:dyDescent="0.3">
      <c r="A3" s="5"/>
      <c r="B3" s="5"/>
      <c r="C3" s="5"/>
      <c r="D3" s="5"/>
      <c r="E3" s="5"/>
      <c r="F3" s="5"/>
      <c r="G3" s="5"/>
      <c r="H3" s="5"/>
      <c r="I3" s="5"/>
      <c r="J3" s="5"/>
      <c r="K3" s="5"/>
      <c r="L3" s="5"/>
      <c r="M3" s="5"/>
      <c r="N3" s="5"/>
      <c r="O3" s="5"/>
      <c r="P3" s="5"/>
      <c r="Q3" s="5"/>
      <c r="R3" s="5"/>
      <c r="S3" s="5"/>
      <c r="T3" s="5"/>
      <c r="U3" s="5"/>
      <c r="V3" s="5"/>
    </row>
    <row r="4" spans="1:22" x14ac:dyDescent="0.3">
      <c r="A4" s="5"/>
      <c r="B4" s="5"/>
      <c r="C4" s="5"/>
      <c r="D4" s="5"/>
      <c r="E4" s="5"/>
      <c r="F4" s="5"/>
      <c r="G4" s="5"/>
      <c r="H4" s="5"/>
      <c r="I4" s="5"/>
      <c r="J4" s="5"/>
      <c r="K4" s="5"/>
      <c r="L4" s="5"/>
      <c r="M4" s="5"/>
      <c r="N4" s="5"/>
      <c r="O4" s="5"/>
      <c r="P4" s="5"/>
      <c r="Q4" s="5"/>
      <c r="R4" s="5"/>
      <c r="S4" s="5"/>
      <c r="T4" s="5"/>
      <c r="U4" s="5"/>
      <c r="V4" s="5"/>
    </row>
    <row r="5" spans="1:22" x14ac:dyDescent="0.3">
      <c r="A5" s="5"/>
      <c r="B5" s="5"/>
      <c r="C5" s="5"/>
      <c r="D5" s="5"/>
      <c r="E5" s="5"/>
      <c r="F5" s="5"/>
      <c r="G5" s="5"/>
      <c r="H5" s="5"/>
      <c r="I5" s="5"/>
      <c r="J5" s="5"/>
      <c r="K5" s="5"/>
      <c r="L5" s="5"/>
      <c r="M5" s="5"/>
      <c r="N5" s="5"/>
      <c r="O5" s="5"/>
      <c r="P5" s="5"/>
      <c r="Q5" s="5"/>
      <c r="R5" s="5"/>
      <c r="S5" s="5"/>
      <c r="T5" s="5"/>
      <c r="U5" s="5"/>
      <c r="V5" s="5"/>
    </row>
    <row r="6" spans="1:22" x14ac:dyDescent="0.3">
      <c r="A6" s="5"/>
      <c r="B6" s="5"/>
      <c r="C6" s="5"/>
      <c r="D6" s="5"/>
      <c r="E6" s="5"/>
      <c r="F6" s="5"/>
      <c r="G6" s="5"/>
      <c r="H6" s="5"/>
      <c r="I6" s="5"/>
      <c r="J6" s="5"/>
      <c r="K6" s="5"/>
      <c r="L6" s="5"/>
      <c r="M6" s="5"/>
      <c r="N6" s="5"/>
      <c r="O6" s="5"/>
      <c r="P6" s="5"/>
      <c r="Q6" s="5"/>
      <c r="R6" s="5"/>
      <c r="S6" s="5"/>
      <c r="T6" s="5"/>
      <c r="U6" s="5"/>
      <c r="V6" s="5"/>
    </row>
    <row r="7" spans="1:22" x14ac:dyDescent="0.3">
      <c r="A7" s="5"/>
      <c r="B7" s="5"/>
      <c r="C7" s="5"/>
      <c r="D7" s="5"/>
      <c r="E7" s="5"/>
      <c r="F7" s="5"/>
      <c r="G7" s="5"/>
      <c r="H7" s="5"/>
      <c r="I7" s="5"/>
      <c r="J7" s="5"/>
      <c r="K7" s="5"/>
      <c r="L7" s="5"/>
      <c r="M7" s="5"/>
      <c r="N7" s="5"/>
      <c r="O7" s="5"/>
      <c r="P7" s="5"/>
      <c r="Q7" s="5"/>
      <c r="R7" s="5"/>
      <c r="S7" s="5"/>
      <c r="T7" s="5"/>
      <c r="U7" s="5"/>
      <c r="V7" s="5"/>
    </row>
    <row r="8" spans="1:22" x14ac:dyDescent="0.3">
      <c r="A8" s="5"/>
      <c r="B8" s="5"/>
      <c r="C8" s="5"/>
      <c r="D8" s="5"/>
      <c r="E8" s="5"/>
      <c r="F8" s="5"/>
      <c r="G8" s="5"/>
      <c r="H8" s="5"/>
      <c r="I8" s="5"/>
      <c r="J8" s="5"/>
      <c r="K8" s="5"/>
      <c r="L8" s="5"/>
      <c r="M8" s="5"/>
      <c r="N8" s="5"/>
      <c r="O8" s="5"/>
      <c r="P8" s="5"/>
      <c r="Q8" s="5"/>
      <c r="R8" s="5"/>
      <c r="S8" s="5"/>
      <c r="T8" s="5"/>
      <c r="U8" s="5"/>
      <c r="V8" s="5"/>
    </row>
    <row r="9" spans="1:22" x14ac:dyDescent="0.3">
      <c r="A9" s="5"/>
      <c r="B9" s="5"/>
      <c r="C9" s="5"/>
      <c r="D9" s="5"/>
      <c r="E9" s="5"/>
      <c r="F9" s="5"/>
      <c r="G9" s="5"/>
      <c r="H9" s="5"/>
      <c r="I9" s="5"/>
      <c r="J9" s="5"/>
      <c r="K9" s="5"/>
      <c r="L9" s="5"/>
      <c r="M9" s="5"/>
      <c r="N9" s="5"/>
      <c r="O9" s="5"/>
      <c r="P9" s="5"/>
      <c r="Q9" s="5"/>
      <c r="R9" s="5"/>
      <c r="S9" s="5"/>
      <c r="T9" s="5"/>
      <c r="U9" s="5"/>
      <c r="V9" s="5"/>
    </row>
    <row r="10" spans="1:22" x14ac:dyDescent="0.3">
      <c r="A10" s="5"/>
      <c r="B10" s="5"/>
      <c r="C10" s="5"/>
      <c r="D10" s="5"/>
      <c r="E10" s="5"/>
      <c r="F10" s="5"/>
      <c r="G10" s="5"/>
      <c r="H10" s="5"/>
      <c r="I10" s="5"/>
      <c r="J10" s="5"/>
      <c r="K10" s="5"/>
      <c r="L10" s="5"/>
      <c r="M10" s="5"/>
      <c r="N10" s="5"/>
      <c r="O10" s="5"/>
      <c r="P10" s="5"/>
      <c r="Q10" s="5"/>
      <c r="R10" s="5"/>
      <c r="S10" s="5"/>
      <c r="T10" s="5"/>
      <c r="U10" s="5"/>
      <c r="V10" s="5"/>
    </row>
    <row r="11" spans="1:22" x14ac:dyDescent="0.3">
      <c r="A11" s="5"/>
      <c r="B11" s="5"/>
      <c r="C11" s="5"/>
      <c r="D11" s="5"/>
      <c r="E11" s="5"/>
      <c r="F11" s="5"/>
      <c r="G11" s="5"/>
      <c r="H11" s="5"/>
      <c r="I11" s="5"/>
      <c r="J11" s="5"/>
      <c r="K11" s="5"/>
      <c r="L11" s="5"/>
      <c r="M11" s="5"/>
      <c r="N11" s="5"/>
      <c r="O11" s="5"/>
      <c r="P11" s="5"/>
      <c r="Q11" s="5"/>
      <c r="R11" s="5"/>
      <c r="S11" s="5"/>
      <c r="T11" s="5"/>
      <c r="U11" s="5"/>
      <c r="V11" s="5"/>
    </row>
    <row r="12" spans="1:22" x14ac:dyDescent="0.3">
      <c r="A12" s="5"/>
      <c r="B12" s="5"/>
      <c r="C12" s="5"/>
      <c r="D12" s="5"/>
      <c r="E12" s="5"/>
      <c r="F12" s="5"/>
      <c r="G12" s="5"/>
      <c r="H12" s="5"/>
      <c r="I12" s="5"/>
      <c r="J12" s="5"/>
      <c r="K12" s="5"/>
      <c r="L12" s="5"/>
      <c r="M12" s="5"/>
      <c r="N12" s="5"/>
      <c r="O12" s="5"/>
      <c r="P12" s="5"/>
      <c r="Q12" s="5"/>
      <c r="R12" s="5"/>
      <c r="S12" s="5"/>
      <c r="T12" s="5"/>
      <c r="U12" s="5"/>
      <c r="V12" s="5"/>
    </row>
    <row r="13" spans="1:22" x14ac:dyDescent="0.3">
      <c r="A13" s="5"/>
      <c r="B13" s="5"/>
      <c r="C13" s="5"/>
      <c r="D13" s="5"/>
      <c r="E13" s="5"/>
      <c r="F13" s="5"/>
      <c r="G13" s="5"/>
      <c r="H13" s="5"/>
      <c r="I13" s="5"/>
      <c r="J13" s="5"/>
      <c r="K13" s="5"/>
      <c r="L13" s="5"/>
      <c r="M13" s="5"/>
      <c r="N13" s="5"/>
      <c r="O13" s="5"/>
      <c r="P13" s="5"/>
      <c r="Q13" s="5"/>
      <c r="R13" s="5"/>
      <c r="S13" s="5"/>
      <c r="T13" s="5"/>
      <c r="U13" s="5"/>
      <c r="V13" s="5"/>
    </row>
    <row r="14" spans="1:22" x14ac:dyDescent="0.3">
      <c r="A14" s="5"/>
      <c r="B14" s="5"/>
      <c r="C14" s="5"/>
      <c r="D14" s="5"/>
      <c r="E14" s="5"/>
      <c r="F14" s="5"/>
      <c r="G14" s="5"/>
      <c r="H14" s="5"/>
      <c r="I14" s="5"/>
      <c r="J14" s="5"/>
      <c r="K14" s="5"/>
      <c r="L14" s="5"/>
      <c r="M14" s="5"/>
      <c r="N14" s="5"/>
      <c r="O14" s="5"/>
      <c r="P14" s="5"/>
      <c r="Q14" s="5"/>
      <c r="R14" s="5"/>
      <c r="S14" s="5"/>
      <c r="T14" s="5"/>
      <c r="U14" s="5"/>
      <c r="V14" s="5"/>
    </row>
    <row r="15" spans="1:22" x14ac:dyDescent="0.3">
      <c r="A15" s="5"/>
      <c r="B15" s="5"/>
      <c r="C15" s="5"/>
      <c r="D15" s="5"/>
      <c r="E15" s="5"/>
      <c r="F15" s="5"/>
      <c r="G15" s="5"/>
      <c r="H15" s="5"/>
      <c r="I15" s="5"/>
      <c r="J15" s="5"/>
      <c r="K15" s="5"/>
      <c r="L15" s="5"/>
      <c r="M15" s="5"/>
      <c r="N15" s="5"/>
      <c r="O15" s="5"/>
      <c r="P15" s="5"/>
      <c r="Q15" s="5"/>
      <c r="R15" s="5"/>
      <c r="S15" s="5"/>
      <c r="T15" s="5"/>
      <c r="U15" s="5"/>
      <c r="V15" s="5"/>
    </row>
    <row r="16" spans="1:22" x14ac:dyDescent="0.3">
      <c r="A16" s="5"/>
      <c r="B16" s="5"/>
      <c r="C16" s="5"/>
      <c r="D16" s="5"/>
      <c r="E16" s="5"/>
      <c r="F16" s="5"/>
      <c r="G16" s="5"/>
      <c r="H16" s="5"/>
      <c r="I16" s="5"/>
      <c r="J16" s="5"/>
      <c r="K16" s="5"/>
      <c r="L16" s="5"/>
      <c r="M16" s="5"/>
      <c r="N16" s="5"/>
      <c r="O16" s="5"/>
      <c r="P16" s="5"/>
      <c r="Q16" s="5"/>
      <c r="R16" s="5"/>
      <c r="S16" s="5"/>
      <c r="T16" s="5"/>
      <c r="U16" s="5"/>
      <c r="V16" s="5"/>
    </row>
    <row r="17" spans="1:22" x14ac:dyDescent="0.3">
      <c r="A17" s="5"/>
      <c r="B17" s="5"/>
      <c r="C17" s="5"/>
      <c r="D17" s="5"/>
      <c r="E17" s="5"/>
      <c r="F17" s="5"/>
      <c r="G17" s="5"/>
      <c r="H17" s="5"/>
      <c r="I17" s="5"/>
      <c r="J17" s="5"/>
      <c r="K17" s="5"/>
      <c r="L17" s="5"/>
      <c r="M17" s="5"/>
      <c r="N17" s="5"/>
      <c r="O17" s="5"/>
      <c r="P17" s="5"/>
      <c r="Q17" s="5"/>
      <c r="R17" s="5"/>
      <c r="S17" s="5"/>
      <c r="T17" s="5"/>
      <c r="U17" s="5"/>
      <c r="V17" s="5"/>
    </row>
    <row r="18" spans="1:22" x14ac:dyDescent="0.3">
      <c r="A18" s="5"/>
      <c r="B18" s="5"/>
      <c r="C18" s="5"/>
      <c r="D18" s="5"/>
      <c r="E18" s="5"/>
      <c r="F18" s="5"/>
      <c r="G18" s="5"/>
      <c r="H18" s="5"/>
      <c r="I18" s="5"/>
      <c r="J18" s="5"/>
      <c r="K18" s="5"/>
      <c r="L18" s="5"/>
      <c r="M18" s="5"/>
      <c r="N18" s="5"/>
      <c r="O18" s="5"/>
      <c r="P18" s="5"/>
      <c r="Q18" s="5"/>
      <c r="R18" s="5"/>
      <c r="S18" s="5"/>
      <c r="T18" s="5"/>
      <c r="U18" s="5"/>
      <c r="V18" s="5"/>
    </row>
    <row r="19" spans="1:22" x14ac:dyDescent="0.3">
      <c r="A19" s="5"/>
      <c r="B19" s="5"/>
      <c r="C19" s="5"/>
      <c r="D19" s="5"/>
      <c r="E19" s="5"/>
      <c r="F19" s="5"/>
      <c r="G19" s="5"/>
      <c r="H19" s="5"/>
      <c r="I19" s="5"/>
      <c r="J19" s="5"/>
      <c r="K19" s="5"/>
      <c r="L19" s="5"/>
      <c r="M19" s="5"/>
      <c r="N19" s="5"/>
      <c r="O19" s="5"/>
      <c r="P19" s="5"/>
      <c r="Q19" s="5"/>
      <c r="R19" s="5"/>
      <c r="S19" s="5"/>
      <c r="T19" s="5"/>
      <c r="U19" s="5"/>
      <c r="V19" s="5"/>
    </row>
    <row r="20" spans="1:22" x14ac:dyDescent="0.3">
      <c r="A20" s="5"/>
      <c r="B20" s="5"/>
      <c r="C20" s="5"/>
      <c r="D20" s="5"/>
      <c r="E20" s="5"/>
      <c r="F20" s="5"/>
      <c r="G20" s="5"/>
      <c r="H20" s="5"/>
      <c r="I20" s="5"/>
      <c r="J20" s="5"/>
      <c r="K20" s="5"/>
      <c r="L20" s="5"/>
      <c r="M20" s="5"/>
      <c r="N20" s="5"/>
      <c r="O20" s="5"/>
      <c r="P20" s="5"/>
      <c r="Q20" s="5"/>
      <c r="R20" s="5"/>
      <c r="S20" s="5"/>
      <c r="T20" s="5"/>
      <c r="U20" s="5"/>
      <c r="V20" s="5"/>
    </row>
    <row r="21" spans="1:22" x14ac:dyDescent="0.3">
      <c r="G21" t="s">
        <v>9</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9A8CA-AB10-4069-8D6D-136DF24182BE}">
  <dimension ref="A1:X21"/>
  <sheetViews>
    <sheetView showGridLines="0" zoomScale="110" zoomScaleNormal="110" workbookViewId="0"/>
  </sheetViews>
  <sheetFormatPr defaultRowHeight="14.4" x14ac:dyDescent="0.3"/>
  <sheetData>
    <row r="1" spans="1:24" x14ac:dyDescent="0.3">
      <c r="A1" s="5"/>
      <c r="B1" s="5"/>
      <c r="C1" s="5"/>
      <c r="D1" s="5"/>
      <c r="E1" s="5"/>
      <c r="F1" s="5"/>
      <c r="G1" s="5"/>
      <c r="H1" s="5"/>
      <c r="I1" s="5"/>
      <c r="J1" s="5"/>
      <c r="K1" s="5"/>
      <c r="L1" s="5"/>
      <c r="M1" s="5"/>
      <c r="N1" s="5"/>
      <c r="O1" s="5"/>
      <c r="P1" s="5"/>
      <c r="Q1" s="5"/>
      <c r="R1" s="5"/>
      <c r="S1" s="5"/>
      <c r="T1" s="5"/>
      <c r="U1" s="5"/>
      <c r="V1" s="5"/>
      <c r="W1" s="6"/>
      <c r="X1" s="6"/>
    </row>
    <row r="2" spans="1:24" x14ac:dyDescent="0.3">
      <c r="A2" s="5"/>
      <c r="B2" s="5"/>
      <c r="C2" s="5"/>
      <c r="D2" s="5"/>
      <c r="E2" s="5"/>
      <c r="F2" s="5"/>
      <c r="G2" s="5"/>
      <c r="H2" s="5"/>
      <c r="I2" s="5"/>
      <c r="J2" s="5"/>
      <c r="K2" s="5"/>
      <c r="L2" s="5"/>
      <c r="M2" s="5"/>
      <c r="N2" s="5"/>
      <c r="O2" s="5"/>
      <c r="P2" s="5"/>
      <c r="Q2" s="5"/>
      <c r="R2" s="5"/>
      <c r="S2" s="5"/>
      <c r="T2" s="5"/>
      <c r="U2" s="5"/>
      <c r="V2" s="5"/>
      <c r="W2" s="6"/>
      <c r="X2" s="6"/>
    </row>
    <row r="3" spans="1:24" x14ac:dyDescent="0.3">
      <c r="A3" s="5"/>
      <c r="B3" s="5"/>
      <c r="C3" s="5"/>
      <c r="D3" s="5"/>
      <c r="E3" s="5"/>
      <c r="F3" s="5"/>
      <c r="G3" s="5"/>
      <c r="H3" s="5"/>
      <c r="I3" s="5"/>
      <c r="J3" s="5"/>
      <c r="K3" s="5"/>
      <c r="L3" s="5"/>
      <c r="M3" s="5"/>
      <c r="N3" s="5"/>
      <c r="O3" s="5"/>
      <c r="P3" s="5"/>
      <c r="Q3" s="5"/>
      <c r="R3" s="5"/>
      <c r="S3" s="5"/>
      <c r="T3" s="5"/>
      <c r="U3" s="5"/>
      <c r="V3" s="5"/>
      <c r="W3" s="6"/>
      <c r="X3" s="6"/>
    </row>
    <row r="4" spans="1:24" x14ac:dyDescent="0.3">
      <c r="A4" s="5"/>
      <c r="B4" s="5"/>
      <c r="C4" s="5"/>
      <c r="D4" s="5"/>
      <c r="E4" s="5"/>
      <c r="F4" s="5"/>
      <c r="G4" s="5"/>
      <c r="H4" s="5"/>
      <c r="I4" s="5"/>
      <c r="J4" s="5"/>
      <c r="K4" s="5"/>
      <c r="L4" s="5"/>
      <c r="M4" s="5"/>
      <c r="N4" s="5"/>
      <c r="O4" s="5"/>
      <c r="P4" s="5"/>
      <c r="Q4" s="5"/>
      <c r="R4" s="5"/>
      <c r="S4" s="5"/>
      <c r="T4" s="5"/>
      <c r="U4" s="5"/>
      <c r="V4" s="5"/>
      <c r="W4" s="6"/>
      <c r="X4" s="6"/>
    </row>
    <row r="5" spans="1:24" x14ac:dyDescent="0.3">
      <c r="A5" s="5"/>
      <c r="B5" s="5"/>
      <c r="C5" s="5"/>
      <c r="D5" s="5"/>
      <c r="E5" s="5"/>
      <c r="F5" s="5"/>
      <c r="G5" s="5"/>
      <c r="H5" s="5"/>
      <c r="I5" s="5"/>
      <c r="J5" s="5"/>
      <c r="K5" s="5"/>
      <c r="L5" s="5"/>
      <c r="M5" s="5"/>
      <c r="N5" s="5"/>
      <c r="O5" s="5"/>
      <c r="P5" s="5"/>
      <c r="Q5" s="5"/>
      <c r="R5" s="5"/>
      <c r="S5" s="5"/>
      <c r="T5" s="5"/>
      <c r="U5" s="5"/>
      <c r="V5" s="5"/>
      <c r="W5" s="6"/>
      <c r="X5" s="6"/>
    </row>
    <row r="6" spans="1:24" x14ac:dyDescent="0.3">
      <c r="A6" s="5"/>
      <c r="B6" s="5"/>
      <c r="C6" s="5"/>
      <c r="D6" s="5"/>
      <c r="E6" s="5"/>
      <c r="F6" s="5"/>
      <c r="G6" s="5"/>
      <c r="H6" s="5"/>
      <c r="I6" s="5"/>
      <c r="J6" s="5"/>
      <c r="K6" s="5"/>
      <c r="L6" s="5"/>
      <c r="M6" s="5"/>
      <c r="N6" s="5"/>
      <c r="O6" s="5"/>
      <c r="P6" s="5"/>
      <c r="Q6" s="5"/>
      <c r="R6" s="5"/>
      <c r="S6" s="5"/>
      <c r="T6" s="5"/>
      <c r="U6" s="5"/>
      <c r="V6" s="5"/>
      <c r="W6" s="6"/>
      <c r="X6" s="6"/>
    </row>
    <row r="7" spans="1:24" x14ac:dyDescent="0.3">
      <c r="A7" s="5"/>
      <c r="B7" s="5"/>
      <c r="C7" s="5"/>
      <c r="D7" s="5"/>
      <c r="E7" s="5"/>
      <c r="F7" s="5"/>
      <c r="G7" s="5"/>
      <c r="H7" s="5"/>
      <c r="I7" s="5"/>
      <c r="J7" s="5"/>
      <c r="K7" s="5"/>
      <c r="L7" s="5"/>
      <c r="M7" s="5"/>
      <c r="N7" s="5"/>
      <c r="O7" s="5"/>
      <c r="P7" s="5"/>
      <c r="Q7" s="5"/>
      <c r="R7" s="5"/>
      <c r="S7" s="5"/>
      <c r="T7" s="5"/>
      <c r="U7" s="5"/>
      <c r="V7" s="5"/>
      <c r="W7" s="6"/>
      <c r="X7" s="6"/>
    </row>
    <row r="8" spans="1:24" x14ac:dyDescent="0.3">
      <c r="A8" s="5"/>
      <c r="B8" s="5"/>
      <c r="C8" s="5"/>
      <c r="D8" s="5"/>
      <c r="E8" s="5"/>
      <c r="F8" s="5"/>
      <c r="G8" s="5"/>
      <c r="H8" s="5"/>
      <c r="I8" s="5"/>
      <c r="J8" s="5"/>
      <c r="K8" s="5"/>
      <c r="L8" s="5"/>
      <c r="M8" s="5"/>
      <c r="N8" s="5"/>
      <c r="O8" s="5"/>
      <c r="P8" s="5"/>
      <c r="Q8" s="5"/>
      <c r="R8" s="5"/>
      <c r="S8" s="5"/>
      <c r="T8" s="5"/>
      <c r="U8" s="5"/>
      <c r="V8" s="5"/>
      <c r="W8" s="6"/>
      <c r="X8" s="6"/>
    </row>
    <row r="9" spans="1:24" x14ac:dyDescent="0.3">
      <c r="A9" s="5"/>
      <c r="B9" s="5"/>
      <c r="C9" s="5"/>
      <c r="D9" s="5"/>
      <c r="E9" s="5"/>
      <c r="F9" s="5"/>
      <c r="G9" s="5"/>
      <c r="H9" s="5"/>
      <c r="I9" s="5"/>
      <c r="J9" s="5"/>
      <c r="K9" s="5"/>
      <c r="L9" s="5"/>
      <c r="M9" s="5"/>
      <c r="N9" s="5"/>
      <c r="O9" s="5"/>
      <c r="P9" s="5"/>
      <c r="Q9" s="5"/>
      <c r="R9" s="5"/>
      <c r="S9" s="5"/>
      <c r="T9" s="5"/>
      <c r="U9" s="5"/>
      <c r="V9" s="5"/>
      <c r="W9" s="6"/>
      <c r="X9" s="6"/>
    </row>
    <row r="10" spans="1:24" x14ac:dyDescent="0.3">
      <c r="A10" s="5"/>
      <c r="B10" s="5"/>
      <c r="C10" s="5"/>
      <c r="D10" s="5"/>
      <c r="E10" s="5"/>
      <c r="F10" s="5"/>
      <c r="G10" s="5"/>
      <c r="H10" s="5"/>
      <c r="I10" s="5"/>
      <c r="J10" s="5"/>
      <c r="K10" s="5"/>
      <c r="L10" s="5"/>
      <c r="M10" s="5"/>
      <c r="N10" s="5"/>
      <c r="O10" s="5"/>
      <c r="P10" s="5"/>
      <c r="Q10" s="5"/>
      <c r="R10" s="5"/>
      <c r="S10" s="5"/>
      <c r="T10" s="5"/>
      <c r="U10" s="5"/>
      <c r="V10" s="5"/>
      <c r="W10" s="6"/>
      <c r="X10" s="6"/>
    </row>
    <row r="11" spans="1:24" x14ac:dyDescent="0.3">
      <c r="A11" s="5"/>
      <c r="B11" s="5"/>
      <c r="C11" s="5"/>
      <c r="D11" s="5"/>
      <c r="E11" s="5"/>
      <c r="F11" s="5"/>
      <c r="G11" s="5"/>
      <c r="H11" s="5"/>
      <c r="I11" s="5"/>
      <c r="J11" s="5"/>
      <c r="K11" s="5"/>
      <c r="L11" s="5"/>
      <c r="M11" s="5"/>
      <c r="N11" s="5"/>
      <c r="O11" s="5"/>
      <c r="P11" s="5"/>
      <c r="Q11" s="5"/>
      <c r="R11" s="5"/>
      <c r="S11" s="5"/>
      <c r="T11" s="5"/>
      <c r="U11" s="5"/>
      <c r="V11" s="5"/>
      <c r="W11" s="6"/>
      <c r="X11" s="6"/>
    </row>
    <row r="12" spans="1:24" x14ac:dyDescent="0.3">
      <c r="A12" s="5"/>
      <c r="B12" s="5"/>
      <c r="C12" s="5"/>
      <c r="D12" s="5"/>
      <c r="E12" s="5"/>
      <c r="F12" s="5"/>
      <c r="G12" s="5"/>
      <c r="H12" s="5"/>
      <c r="I12" s="5"/>
      <c r="J12" s="5"/>
      <c r="K12" s="5"/>
      <c r="L12" s="5"/>
      <c r="M12" s="5"/>
      <c r="N12" s="5"/>
      <c r="O12" s="5"/>
      <c r="P12" s="5"/>
      <c r="Q12" s="5"/>
      <c r="R12" s="5"/>
      <c r="S12" s="5"/>
      <c r="T12" s="5"/>
      <c r="U12" s="5"/>
      <c r="V12" s="5"/>
      <c r="W12" s="6"/>
      <c r="X12" s="6"/>
    </row>
    <row r="13" spans="1:24" x14ac:dyDescent="0.3">
      <c r="A13" s="5"/>
      <c r="B13" s="5"/>
      <c r="C13" s="5"/>
      <c r="D13" s="5"/>
      <c r="E13" s="5"/>
      <c r="F13" s="5"/>
      <c r="G13" s="5"/>
      <c r="H13" s="5"/>
      <c r="I13" s="5"/>
      <c r="J13" s="5"/>
      <c r="K13" s="5"/>
      <c r="L13" s="5"/>
      <c r="M13" s="5"/>
      <c r="N13" s="5"/>
      <c r="O13" s="5"/>
      <c r="P13" s="5"/>
      <c r="Q13" s="5"/>
      <c r="R13" s="5"/>
      <c r="S13" s="5"/>
      <c r="T13" s="5"/>
      <c r="U13" s="5"/>
      <c r="V13" s="5"/>
      <c r="W13" s="6"/>
      <c r="X13" s="6"/>
    </row>
    <row r="14" spans="1:24" x14ac:dyDescent="0.3">
      <c r="A14" s="5"/>
      <c r="B14" s="5"/>
      <c r="C14" s="5"/>
      <c r="D14" s="5"/>
      <c r="E14" s="5"/>
      <c r="F14" s="5"/>
      <c r="G14" s="5"/>
      <c r="H14" s="5"/>
      <c r="I14" s="5"/>
      <c r="J14" s="5"/>
      <c r="K14" s="5"/>
      <c r="L14" s="5"/>
      <c r="M14" s="5"/>
      <c r="N14" s="5"/>
      <c r="O14" s="5"/>
      <c r="P14" s="5"/>
      <c r="Q14" s="5"/>
      <c r="R14" s="5"/>
      <c r="S14" s="5"/>
      <c r="T14" s="5"/>
      <c r="U14" s="5"/>
      <c r="V14" s="5"/>
      <c r="W14" s="6"/>
      <c r="X14" s="6"/>
    </row>
    <row r="15" spans="1:24" x14ac:dyDescent="0.3">
      <c r="A15" s="5"/>
      <c r="B15" s="5"/>
      <c r="C15" s="5"/>
      <c r="D15" s="5"/>
      <c r="E15" s="5"/>
      <c r="F15" s="5"/>
      <c r="G15" s="5"/>
      <c r="H15" s="5"/>
      <c r="I15" s="5"/>
      <c r="J15" s="5"/>
      <c r="K15" s="5"/>
      <c r="L15" s="5"/>
      <c r="M15" s="5"/>
      <c r="N15" s="5"/>
      <c r="O15" s="5"/>
      <c r="P15" s="5"/>
      <c r="Q15" s="5"/>
      <c r="R15" s="5"/>
      <c r="S15" s="5"/>
      <c r="T15" s="5"/>
      <c r="U15" s="5"/>
      <c r="V15" s="5"/>
      <c r="W15" s="6"/>
      <c r="X15" s="6"/>
    </row>
    <row r="16" spans="1:24" x14ac:dyDescent="0.3">
      <c r="A16" s="5"/>
      <c r="B16" s="5"/>
      <c r="C16" s="5"/>
      <c r="D16" s="5"/>
      <c r="E16" s="5"/>
      <c r="F16" s="5"/>
      <c r="G16" s="5"/>
      <c r="H16" s="5"/>
      <c r="I16" s="5"/>
      <c r="J16" s="5"/>
      <c r="K16" s="5"/>
      <c r="L16" s="5"/>
      <c r="M16" s="5"/>
      <c r="N16" s="5"/>
      <c r="O16" s="5"/>
      <c r="P16" s="5"/>
      <c r="Q16" s="5"/>
      <c r="R16" s="5"/>
      <c r="S16" s="5"/>
      <c r="T16" s="5"/>
      <c r="U16" s="5"/>
      <c r="V16" s="5"/>
      <c r="W16" s="6"/>
      <c r="X16" s="6"/>
    </row>
    <row r="17" spans="1:24" x14ac:dyDescent="0.3">
      <c r="A17" s="5"/>
      <c r="B17" s="5"/>
      <c r="C17" s="5"/>
      <c r="D17" s="5"/>
      <c r="E17" s="5"/>
      <c r="F17" s="5"/>
      <c r="G17" s="5"/>
      <c r="H17" s="5"/>
      <c r="I17" s="5"/>
      <c r="J17" s="5"/>
      <c r="K17" s="5"/>
      <c r="L17" s="5"/>
      <c r="M17" s="5"/>
      <c r="N17" s="5"/>
      <c r="O17" s="5"/>
      <c r="P17" s="5"/>
      <c r="Q17" s="5"/>
      <c r="R17" s="5"/>
      <c r="S17" s="5"/>
      <c r="T17" s="5"/>
      <c r="U17" s="5"/>
      <c r="V17" s="5"/>
      <c r="W17" s="6"/>
      <c r="X17" s="6"/>
    </row>
    <row r="18" spans="1:24" x14ac:dyDescent="0.3">
      <c r="A18" s="5"/>
      <c r="B18" s="5"/>
      <c r="C18" s="5"/>
      <c r="D18" s="5"/>
      <c r="E18" s="5"/>
      <c r="F18" s="5"/>
      <c r="G18" s="5"/>
      <c r="H18" s="5"/>
      <c r="I18" s="5"/>
      <c r="J18" s="5"/>
      <c r="K18" s="5"/>
      <c r="L18" s="5"/>
      <c r="M18" s="5"/>
      <c r="N18" s="5"/>
      <c r="O18" s="5"/>
      <c r="P18" s="5"/>
      <c r="Q18" s="5"/>
      <c r="R18" s="5"/>
      <c r="S18" s="5"/>
      <c r="T18" s="5"/>
      <c r="U18" s="5"/>
      <c r="V18" s="5"/>
      <c r="W18" s="6"/>
      <c r="X18" s="6"/>
    </row>
    <row r="19" spans="1:24" x14ac:dyDescent="0.3">
      <c r="A19" s="5"/>
      <c r="B19" s="5"/>
      <c r="C19" s="5"/>
      <c r="D19" s="5"/>
      <c r="E19" s="5"/>
      <c r="F19" s="5"/>
      <c r="G19" s="5"/>
      <c r="H19" s="5"/>
      <c r="I19" s="5"/>
      <c r="J19" s="5"/>
      <c r="K19" s="5"/>
      <c r="L19" s="5"/>
      <c r="M19" s="5"/>
      <c r="N19" s="5"/>
      <c r="O19" s="5"/>
      <c r="P19" s="5"/>
      <c r="Q19" s="5"/>
      <c r="R19" s="5"/>
      <c r="S19" s="5"/>
      <c r="T19" s="5"/>
      <c r="U19" s="5"/>
      <c r="V19" s="5"/>
      <c r="W19" s="6"/>
      <c r="X19" s="6"/>
    </row>
    <row r="20" spans="1:24" x14ac:dyDescent="0.3">
      <c r="A20" s="5"/>
      <c r="B20" s="5"/>
      <c r="C20" s="5"/>
      <c r="D20" s="5"/>
      <c r="E20" s="5"/>
      <c r="F20" s="5"/>
      <c r="G20" s="5"/>
      <c r="H20" s="5"/>
      <c r="I20" s="5"/>
      <c r="J20" s="5"/>
      <c r="K20" s="5"/>
      <c r="L20" s="5"/>
      <c r="M20" s="5"/>
      <c r="N20" s="5"/>
      <c r="O20" s="5"/>
      <c r="P20" s="5"/>
      <c r="Q20" s="5"/>
      <c r="R20" s="5"/>
      <c r="S20" s="5"/>
      <c r="T20" s="5"/>
      <c r="U20" s="5"/>
      <c r="V20" s="5"/>
      <c r="W20" s="6"/>
      <c r="X20" s="6"/>
    </row>
    <row r="21" spans="1:24" x14ac:dyDescent="0.3">
      <c r="F21" t="s">
        <v>6</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78EA4-F246-4702-888B-4AF652E74C88}">
  <dimension ref="A1:X21"/>
  <sheetViews>
    <sheetView showGridLines="0" zoomScale="110" zoomScaleNormal="110" workbookViewId="0"/>
  </sheetViews>
  <sheetFormatPr defaultRowHeight="14.4" x14ac:dyDescent="0.3"/>
  <sheetData>
    <row r="1" spans="1:24" x14ac:dyDescent="0.3">
      <c r="A1" s="5"/>
      <c r="B1" s="5"/>
      <c r="C1" s="5"/>
      <c r="D1" s="5"/>
      <c r="E1" s="5"/>
      <c r="F1" s="5"/>
      <c r="G1" s="5"/>
      <c r="H1" s="5"/>
      <c r="I1" s="5"/>
      <c r="J1" s="5"/>
      <c r="K1" s="5"/>
      <c r="L1" s="5"/>
      <c r="M1" s="5"/>
      <c r="N1" s="5"/>
      <c r="O1" s="5"/>
      <c r="P1" s="5"/>
      <c r="Q1" s="5"/>
      <c r="R1" s="5"/>
      <c r="S1" s="5"/>
      <c r="T1" s="5"/>
      <c r="U1" s="5"/>
      <c r="V1" s="5"/>
      <c r="W1" s="6"/>
      <c r="X1" s="6"/>
    </row>
    <row r="2" spans="1:24" x14ac:dyDescent="0.3">
      <c r="A2" s="5"/>
      <c r="B2" s="5"/>
      <c r="C2" s="5"/>
      <c r="D2" s="5"/>
      <c r="E2" s="5"/>
      <c r="F2" s="5"/>
      <c r="G2" s="5"/>
      <c r="H2" s="5"/>
      <c r="I2" s="5"/>
      <c r="J2" s="5"/>
      <c r="K2" s="5"/>
      <c r="L2" s="5"/>
      <c r="M2" s="5"/>
      <c r="N2" s="5"/>
      <c r="O2" s="5"/>
      <c r="P2" s="5"/>
      <c r="Q2" s="5"/>
      <c r="R2" s="5"/>
      <c r="S2" s="5"/>
      <c r="T2" s="5"/>
      <c r="U2" s="5"/>
      <c r="V2" s="5"/>
      <c r="W2" s="6"/>
      <c r="X2" s="6"/>
    </row>
    <row r="3" spans="1:24" x14ac:dyDescent="0.3">
      <c r="A3" s="5"/>
      <c r="B3" s="5"/>
      <c r="C3" s="5"/>
      <c r="D3" s="5"/>
      <c r="E3" s="5"/>
      <c r="F3" s="5"/>
      <c r="G3" s="5"/>
      <c r="H3" s="5"/>
      <c r="I3" s="5"/>
      <c r="J3" s="5"/>
      <c r="K3" s="5"/>
      <c r="L3" s="5"/>
      <c r="M3" s="5"/>
      <c r="N3" s="5"/>
      <c r="O3" s="5"/>
      <c r="P3" s="5"/>
      <c r="Q3" s="5"/>
      <c r="R3" s="5"/>
      <c r="S3" s="5"/>
      <c r="T3" s="5"/>
      <c r="U3" s="5"/>
      <c r="V3" s="5"/>
      <c r="W3" s="6"/>
      <c r="X3" s="6"/>
    </row>
    <row r="4" spans="1:24" x14ac:dyDescent="0.3">
      <c r="A4" s="5"/>
      <c r="B4" s="5"/>
      <c r="C4" s="5"/>
      <c r="D4" s="5"/>
      <c r="E4" s="5"/>
      <c r="F4" s="5"/>
      <c r="G4" s="5"/>
      <c r="H4" s="5"/>
      <c r="I4" s="5"/>
      <c r="J4" s="5"/>
      <c r="K4" s="5"/>
      <c r="L4" s="5"/>
      <c r="M4" s="5"/>
      <c r="N4" s="5"/>
      <c r="O4" s="5"/>
      <c r="P4" s="5"/>
      <c r="Q4" s="5"/>
      <c r="R4" s="5"/>
      <c r="S4" s="5"/>
      <c r="T4" s="5"/>
      <c r="U4" s="5"/>
      <c r="V4" s="5"/>
      <c r="W4" s="6"/>
      <c r="X4" s="6"/>
    </row>
    <row r="5" spans="1:24" x14ac:dyDescent="0.3">
      <c r="A5" s="5"/>
      <c r="B5" s="5"/>
      <c r="C5" s="5"/>
      <c r="D5" s="5"/>
      <c r="E5" s="5"/>
      <c r="F5" s="5"/>
      <c r="G5" s="5"/>
      <c r="H5" s="5"/>
      <c r="I5" s="5"/>
      <c r="J5" s="5"/>
      <c r="K5" s="5"/>
      <c r="L5" s="5"/>
      <c r="M5" s="5"/>
      <c r="N5" s="5"/>
      <c r="O5" s="5"/>
      <c r="P5" s="5"/>
      <c r="Q5" s="5"/>
      <c r="R5" s="5"/>
      <c r="S5" s="5"/>
      <c r="T5" s="5"/>
      <c r="U5" s="5"/>
      <c r="V5" s="5"/>
      <c r="W5" s="6"/>
      <c r="X5" s="6"/>
    </row>
    <row r="6" spans="1:24" x14ac:dyDescent="0.3">
      <c r="A6" s="5"/>
      <c r="B6" s="5"/>
      <c r="C6" s="5"/>
      <c r="D6" s="5"/>
      <c r="E6" s="5"/>
      <c r="F6" s="5"/>
      <c r="G6" s="5"/>
      <c r="H6" s="5"/>
      <c r="I6" s="5"/>
      <c r="J6" s="5"/>
      <c r="K6" s="5"/>
      <c r="L6" s="5"/>
      <c r="M6" s="5"/>
      <c r="N6" s="5"/>
      <c r="O6" s="5"/>
      <c r="P6" s="5"/>
      <c r="Q6" s="5"/>
      <c r="R6" s="5"/>
      <c r="S6" s="5"/>
      <c r="T6" s="5"/>
      <c r="U6" s="5"/>
      <c r="V6" s="5"/>
      <c r="W6" s="6"/>
      <c r="X6" s="6"/>
    </row>
    <row r="7" spans="1:24" x14ac:dyDescent="0.3">
      <c r="A7" s="5"/>
      <c r="B7" s="5"/>
      <c r="C7" s="5"/>
      <c r="D7" s="5"/>
      <c r="E7" s="5"/>
      <c r="F7" s="5"/>
      <c r="G7" s="5"/>
      <c r="H7" s="5"/>
      <c r="I7" s="5"/>
      <c r="J7" s="5"/>
      <c r="K7" s="5"/>
      <c r="L7" s="5"/>
      <c r="M7" s="5"/>
      <c r="N7" s="5"/>
      <c r="O7" s="5"/>
      <c r="P7" s="5"/>
      <c r="Q7" s="5"/>
      <c r="R7" s="5"/>
      <c r="S7" s="5"/>
      <c r="T7" s="5"/>
      <c r="U7" s="5"/>
      <c r="V7" s="5"/>
      <c r="W7" s="6"/>
      <c r="X7" s="6"/>
    </row>
    <row r="8" spans="1:24" x14ac:dyDescent="0.3">
      <c r="A8" s="5"/>
      <c r="B8" s="5"/>
      <c r="C8" s="5"/>
      <c r="D8" s="5"/>
      <c r="E8" s="5"/>
      <c r="F8" s="5"/>
      <c r="G8" s="5"/>
      <c r="H8" s="5"/>
      <c r="I8" s="5"/>
      <c r="J8" s="5"/>
      <c r="K8" s="5"/>
      <c r="L8" s="5"/>
      <c r="M8" s="5"/>
      <c r="N8" s="5"/>
      <c r="O8" s="5"/>
      <c r="P8" s="5"/>
      <c r="Q8" s="5"/>
      <c r="R8" s="5"/>
      <c r="S8" s="5"/>
      <c r="T8" s="5"/>
      <c r="U8" s="5"/>
      <c r="V8" s="5"/>
      <c r="W8" s="6"/>
      <c r="X8" s="6"/>
    </row>
    <row r="9" spans="1:24" x14ac:dyDescent="0.3">
      <c r="A9" s="5"/>
      <c r="B9" s="5"/>
      <c r="C9" s="5"/>
      <c r="D9" s="5"/>
      <c r="E9" s="5"/>
      <c r="F9" s="5"/>
      <c r="G9" s="5"/>
      <c r="H9" s="5"/>
      <c r="I9" s="5"/>
      <c r="J9" s="5"/>
      <c r="K9" s="5"/>
      <c r="L9" s="5"/>
      <c r="M9" s="5"/>
      <c r="N9" s="5"/>
      <c r="O9" s="5"/>
      <c r="P9" s="5"/>
      <c r="Q9" s="5"/>
      <c r="R9" s="5"/>
      <c r="S9" s="5"/>
      <c r="T9" s="5"/>
      <c r="U9" s="5"/>
      <c r="V9" s="5"/>
      <c r="W9" s="6"/>
      <c r="X9" s="6"/>
    </row>
    <row r="10" spans="1:24" x14ac:dyDescent="0.3">
      <c r="A10" s="5"/>
      <c r="B10" s="5"/>
      <c r="C10" s="5"/>
      <c r="D10" s="5"/>
      <c r="E10" s="5"/>
      <c r="F10" s="5"/>
      <c r="G10" s="5"/>
      <c r="H10" s="5"/>
      <c r="I10" s="5"/>
      <c r="J10" s="5"/>
      <c r="K10" s="5"/>
      <c r="L10" s="5"/>
      <c r="M10" s="5"/>
      <c r="N10" s="5"/>
      <c r="O10" s="5"/>
      <c r="P10" s="5"/>
      <c r="Q10" s="5"/>
      <c r="R10" s="5"/>
      <c r="S10" s="5"/>
      <c r="T10" s="5"/>
      <c r="U10" s="5"/>
      <c r="V10" s="5"/>
      <c r="W10" s="6"/>
      <c r="X10" s="6"/>
    </row>
    <row r="11" spans="1:24" x14ac:dyDescent="0.3">
      <c r="A11" s="5"/>
      <c r="B11" s="5"/>
      <c r="C11" s="5"/>
      <c r="D11" s="5"/>
      <c r="E11" s="5"/>
      <c r="F11" s="5"/>
      <c r="G11" s="5"/>
      <c r="H11" s="5"/>
      <c r="I11" s="5"/>
      <c r="J11" s="5"/>
      <c r="K11" s="5"/>
      <c r="L11" s="5"/>
      <c r="M11" s="5"/>
      <c r="N11" s="5"/>
      <c r="O11" s="5"/>
      <c r="P11" s="5"/>
      <c r="Q11" s="5"/>
      <c r="R11" s="5"/>
      <c r="S11" s="5"/>
      <c r="T11" s="5"/>
      <c r="U11" s="5"/>
      <c r="V11" s="5"/>
      <c r="W11" s="6"/>
      <c r="X11" s="6"/>
    </row>
    <row r="12" spans="1:24" x14ac:dyDescent="0.3">
      <c r="A12" s="5"/>
      <c r="B12" s="5"/>
      <c r="C12" s="5"/>
      <c r="D12" s="5"/>
      <c r="E12" s="5"/>
      <c r="F12" s="5"/>
      <c r="G12" s="5"/>
      <c r="H12" s="5"/>
      <c r="I12" s="5"/>
      <c r="J12" s="5"/>
      <c r="K12" s="5"/>
      <c r="L12" s="5"/>
      <c r="M12" s="5"/>
      <c r="N12" s="5"/>
      <c r="O12" s="5"/>
      <c r="P12" s="5"/>
      <c r="Q12" s="5"/>
      <c r="R12" s="5"/>
      <c r="S12" s="5"/>
      <c r="T12" s="5"/>
      <c r="U12" s="5"/>
      <c r="V12" s="5"/>
      <c r="W12" s="6"/>
      <c r="X12" s="6"/>
    </row>
    <row r="13" spans="1:24" x14ac:dyDescent="0.3">
      <c r="A13" s="5"/>
      <c r="B13" s="5"/>
      <c r="C13" s="5"/>
      <c r="D13" s="5"/>
      <c r="E13" s="5"/>
      <c r="F13" s="5"/>
      <c r="G13" s="5"/>
      <c r="H13" s="5"/>
      <c r="I13" s="5"/>
      <c r="J13" s="5"/>
      <c r="K13" s="5"/>
      <c r="L13" s="5"/>
      <c r="M13" s="5"/>
      <c r="N13" s="5"/>
      <c r="O13" s="5"/>
      <c r="P13" s="5"/>
      <c r="Q13" s="5"/>
      <c r="R13" s="5"/>
      <c r="S13" s="5"/>
      <c r="T13" s="5"/>
      <c r="U13" s="5"/>
      <c r="V13" s="5"/>
      <c r="W13" s="6"/>
      <c r="X13" s="6"/>
    </row>
    <row r="14" spans="1:24" x14ac:dyDescent="0.3">
      <c r="A14" s="5"/>
      <c r="B14" s="5"/>
      <c r="C14" s="5"/>
      <c r="D14" s="5"/>
      <c r="E14" s="5"/>
      <c r="F14" s="5"/>
      <c r="G14" s="5"/>
      <c r="H14" s="5"/>
      <c r="I14" s="5"/>
      <c r="J14" s="5"/>
      <c r="K14" s="5"/>
      <c r="L14" s="5"/>
      <c r="M14" s="5"/>
      <c r="N14" s="5"/>
      <c r="O14" s="5"/>
      <c r="P14" s="5"/>
      <c r="Q14" s="5"/>
      <c r="R14" s="5"/>
      <c r="S14" s="5"/>
      <c r="T14" s="5"/>
      <c r="U14" s="5"/>
      <c r="V14" s="5"/>
      <c r="W14" s="6"/>
      <c r="X14" s="6"/>
    </row>
    <row r="15" spans="1:24" x14ac:dyDescent="0.3">
      <c r="A15" s="5"/>
      <c r="B15" s="5"/>
      <c r="C15" s="5"/>
      <c r="D15" s="5"/>
      <c r="E15" s="5"/>
      <c r="F15" s="5"/>
      <c r="G15" s="5"/>
      <c r="H15" s="5"/>
      <c r="I15" s="5"/>
      <c r="J15" s="5"/>
      <c r="K15" s="5"/>
      <c r="L15" s="5"/>
      <c r="M15" s="5"/>
      <c r="N15" s="5"/>
      <c r="O15" s="5"/>
      <c r="P15" s="5"/>
      <c r="Q15" s="5"/>
      <c r="R15" s="5"/>
      <c r="S15" s="5"/>
      <c r="T15" s="5"/>
      <c r="U15" s="5"/>
      <c r="V15" s="5"/>
      <c r="W15" s="6"/>
      <c r="X15" s="6"/>
    </row>
    <row r="16" spans="1:24" x14ac:dyDescent="0.3">
      <c r="A16" s="5"/>
      <c r="B16" s="5"/>
      <c r="C16" s="5"/>
      <c r="D16" s="5"/>
      <c r="E16" s="5"/>
      <c r="F16" s="5"/>
      <c r="G16" s="5"/>
      <c r="H16" s="5"/>
      <c r="I16" s="5"/>
      <c r="J16" s="5"/>
      <c r="K16" s="5"/>
      <c r="L16" s="5"/>
      <c r="M16" s="5"/>
      <c r="N16" s="5"/>
      <c r="O16" s="5"/>
      <c r="P16" s="5"/>
      <c r="Q16" s="5"/>
      <c r="R16" s="5"/>
      <c r="S16" s="5"/>
      <c r="T16" s="5"/>
      <c r="U16" s="5"/>
      <c r="V16" s="5"/>
      <c r="W16" s="6"/>
      <c r="X16" s="6"/>
    </row>
    <row r="17" spans="1:24" x14ac:dyDescent="0.3">
      <c r="A17" s="5"/>
      <c r="B17" s="5"/>
      <c r="C17" s="5"/>
      <c r="D17" s="5"/>
      <c r="E17" s="5"/>
      <c r="F17" s="5"/>
      <c r="G17" s="5"/>
      <c r="H17" s="5"/>
      <c r="I17" s="5"/>
      <c r="J17" s="5"/>
      <c r="K17" s="5"/>
      <c r="L17" s="5"/>
      <c r="M17" s="5"/>
      <c r="N17" s="5"/>
      <c r="O17" s="5"/>
      <c r="P17" s="5"/>
      <c r="Q17" s="5"/>
      <c r="R17" s="5"/>
      <c r="S17" s="5"/>
      <c r="T17" s="5"/>
      <c r="U17" s="5"/>
      <c r="V17" s="5"/>
      <c r="W17" s="6"/>
      <c r="X17" s="6"/>
    </row>
    <row r="18" spans="1:24" x14ac:dyDescent="0.3">
      <c r="A18" s="5"/>
      <c r="B18" s="5"/>
      <c r="C18" s="5"/>
      <c r="D18" s="5"/>
      <c r="E18" s="5"/>
      <c r="F18" s="5"/>
      <c r="G18" s="5"/>
      <c r="H18" s="5"/>
      <c r="I18" s="5"/>
      <c r="J18" s="5"/>
      <c r="K18" s="5"/>
      <c r="L18" s="5"/>
      <c r="M18" s="5"/>
      <c r="N18" s="5"/>
      <c r="O18" s="5"/>
      <c r="P18" s="5"/>
      <c r="Q18" s="5"/>
      <c r="R18" s="5"/>
      <c r="S18" s="5"/>
      <c r="T18" s="5"/>
      <c r="U18" s="5"/>
      <c r="V18" s="5"/>
      <c r="W18" s="6"/>
      <c r="X18" s="6"/>
    </row>
    <row r="19" spans="1:24" x14ac:dyDescent="0.3">
      <c r="A19" s="5"/>
      <c r="B19" s="5"/>
      <c r="C19" s="5"/>
      <c r="D19" s="5"/>
      <c r="E19" s="5"/>
      <c r="F19" s="5"/>
      <c r="G19" s="5"/>
      <c r="H19" s="5"/>
      <c r="I19" s="5"/>
      <c r="J19" s="5"/>
      <c r="K19" s="5"/>
      <c r="L19" s="5"/>
      <c r="M19" s="5"/>
      <c r="N19" s="5"/>
      <c r="O19" s="5"/>
      <c r="P19" s="5"/>
      <c r="Q19" s="5"/>
      <c r="R19" s="5"/>
      <c r="S19" s="5"/>
      <c r="T19" s="5"/>
      <c r="U19" s="5"/>
      <c r="V19" s="5"/>
      <c r="W19" s="6"/>
      <c r="X19" s="6"/>
    </row>
    <row r="20" spans="1:24" x14ac:dyDescent="0.3">
      <c r="A20" s="5"/>
      <c r="B20" s="5"/>
      <c r="C20" s="5"/>
      <c r="D20" s="5"/>
      <c r="E20" s="5"/>
      <c r="F20" s="5"/>
      <c r="G20" s="5"/>
      <c r="H20" s="5"/>
      <c r="I20" s="5"/>
      <c r="J20" s="5"/>
      <c r="K20" s="5"/>
      <c r="L20" s="5"/>
      <c r="M20" s="5"/>
      <c r="N20" s="5"/>
      <c r="O20" s="5"/>
      <c r="P20" s="5"/>
      <c r="Q20" s="5"/>
      <c r="R20" s="5"/>
      <c r="S20" s="5"/>
      <c r="T20" s="5"/>
      <c r="U20" s="5"/>
      <c r="V20" s="5"/>
      <c r="W20" s="6"/>
      <c r="X20" s="6"/>
    </row>
    <row r="21" spans="1:24" x14ac:dyDescent="0.3">
      <c r="G21" s="7" t="s">
        <v>11</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BF718B7A-624C-41C4-8171-C9FDACD8ECB0}">
  <ds:schemaRefs/>
</ds:datastoreItem>
</file>

<file path=customXml/itemProps2.xml><?xml version="1.0" encoding="utf-8"?>
<ds:datastoreItem xmlns:ds="http://schemas.openxmlformats.org/officeDocument/2006/customXml" ds:itemID="{3058D9B4-403C-427E-8724-5754915BA6A7}">
  <ds:schemaRefs/>
</ds:datastoreItem>
</file>

<file path=customXml/itemProps3.xml><?xml version="1.0" encoding="utf-8"?>
<ds:datastoreItem xmlns:ds="http://schemas.openxmlformats.org/officeDocument/2006/customXml" ds:itemID="{42B85C14-2ED1-436F-BA77-0241F40A620C}">
  <ds:schemaRefs/>
</ds:datastoreItem>
</file>

<file path=customXml/itemProps4.xml><?xml version="1.0" encoding="utf-8"?>
<ds:datastoreItem xmlns:ds="http://schemas.openxmlformats.org/officeDocument/2006/customXml" ds:itemID="{B14CBA0C-E31E-417C-B5ED-073D9D76435F}">
  <ds:schemaRefs/>
</ds:datastoreItem>
</file>

<file path=customXml/itemProps5.xml><?xml version="1.0" encoding="utf-8"?>
<ds:datastoreItem xmlns:ds="http://schemas.openxmlformats.org/officeDocument/2006/customXml" ds:itemID="{0101FB99-1DAC-4A7D-8C15-E60BE418494E}">
  <ds:schemaRefs>
    <ds:schemaRef ds:uri="http://schemas.microsoft.com/DataMashup"/>
  </ds:schemaRefs>
</ds:datastoreItem>
</file>

<file path=customXml/itemProps6.xml><?xml version="1.0" encoding="utf-8"?>
<ds:datastoreItem xmlns:ds="http://schemas.openxmlformats.org/officeDocument/2006/customXml" ds:itemID="{E9230779-AB5C-485B-8D7E-A5D725F12BD6}">
  <ds:schemaRefs/>
</ds:datastoreItem>
</file>

<file path=customXml/itemProps7.xml><?xml version="1.0" encoding="utf-8"?>
<ds:datastoreItem xmlns:ds="http://schemas.openxmlformats.org/officeDocument/2006/customXml" ds:itemID="{D6F71559-8FEC-4ABC-861C-7311CF42C90A}">
  <ds:schemaRefs/>
</ds:datastoreItem>
</file>

<file path=customXml/itemProps8.xml><?xml version="1.0" encoding="utf-8"?>
<ds:datastoreItem xmlns:ds="http://schemas.openxmlformats.org/officeDocument/2006/customXml" ds:itemID="{DA1AE990-6810-49C2-914D-6C3317BD92AC}">
  <ds:schemaRefs/>
</ds:datastoreItem>
</file>

<file path=customXml/itemProps9.xml><?xml version="1.0" encoding="utf-8"?>
<ds:datastoreItem xmlns:ds="http://schemas.openxmlformats.org/officeDocument/2006/customXml" ds:itemID="{8F3EAA7A-CC2B-458C-A8AF-3BF48C7CE1F4}">
  <ds:schemaRefs/>
</ds:datastoreItem>
</file>

<file path=customXml/itemProps10.xml><?xml version="1.0" encoding="utf-8"?>
<ds:datastoreItem xmlns:ds="http://schemas.openxmlformats.org/officeDocument/2006/customXml" ds:itemID="{7177F8F0-D684-4C94-80FB-4F98614CC649}">
  <ds:schemaRefs/>
</ds:datastoreItem>
</file>

<file path=customXml/itemProps11.xml><?xml version="1.0" encoding="utf-8"?>
<ds:datastoreItem xmlns:ds="http://schemas.openxmlformats.org/officeDocument/2006/customXml" ds:itemID="{D80983C2-1E33-44A1-A61D-3F8819174AEA}">
  <ds:schemaRefs/>
</ds:datastoreItem>
</file>

<file path=customXml/itemProps12.xml><?xml version="1.0" encoding="utf-8"?>
<ds:datastoreItem xmlns:ds="http://schemas.openxmlformats.org/officeDocument/2006/customXml" ds:itemID="{B7904908-448E-485D-9A3E-F32CBEE67411}">
  <ds:schemaRefs/>
</ds:datastoreItem>
</file>

<file path=customXml/itemProps13.xml><?xml version="1.0" encoding="utf-8"?>
<ds:datastoreItem xmlns:ds="http://schemas.openxmlformats.org/officeDocument/2006/customXml" ds:itemID="{F987C97D-4B30-4979-A6B3-489A46F3E9A1}">
  <ds:schemaRefs/>
</ds:datastoreItem>
</file>

<file path=customXml/itemProps14.xml><?xml version="1.0" encoding="utf-8"?>
<ds:datastoreItem xmlns:ds="http://schemas.openxmlformats.org/officeDocument/2006/customXml" ds:itemID="{4C74080D-73A1-4676-AF9D-94F0DA3AA805}">
  <ds:schemaRefs/>
</ds:datastoreItem>
</file>

<file path=customXml/itemProps15.xml><?xml version="1.0" encoding="utf-8"?>
<ds:datastoreItem xmlns:ds="http://schemas.openxmlformats.org/officeDocument/2006/customXml" ds:itemID="{4CCE55CB-22BE-4906-930C-7C507B448C5A}">
  <ds:schemaRefs/>
</ds:datastoreItem>
</file>

<file path=customXml/itemProps16.xml><?xml version="1.0" encoding="utf-8"?>
<ds:datastoreItem xmlns:ds="http://schemas.openxmlformats.org/officeDocument/2006/customXml" ds:itemID="{87640F79-7D34-48F2-990E-BD0977268414}">
  <ds:schemaRefs/>
</ds:datastoreItem>
</file>

<file path=customXml/itemProps17.xml><?xml version="1.0" encoding="utf-8"?>
<ds:datastoreItem xmlns:ds="http://schemas.openxmlformats.org/officeDocument/2006/customXml" ds:itemID="{DE88AF46-9110-47BE-87D7-49833F5B25D3}">
  <ds:schemaRefs/>
</ds:datastoreItem>
</file>

<file path=customXml/itemProps18.xml><?xml version="1.0" encoding="utf-8"?>
<ds:datastoreItem xmlns:ds="http://schemas.openxmlformats.org/officeDocument/2006/customXml" ds:itemID="{97DC303A-94CE-4431-A0D3-7214419E89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Average Wait Time</vt:lpstr>
      <vt:lpstr>Daily ER no.of Patient</vt:lpstr>
      <vt:lpstr>Satisfaction Score Daily Trends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shreya magan</dc:creator>
  <cp:lastModifiedBy>shreya magan</cp:lastModifiedBy>
  <dcterms:created xsi:type="dcterms:W3CDTF">2025-10-03T07:10:05Z</dcterms:created>
  <dcterms:modified xsi:type="dcterms:W3CDTF">2025-10-06T08:43:29Z</dcterms:modified>
</cp:coreProperties>
</file>